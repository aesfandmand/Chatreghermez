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.xml" ContentType="application/vnd.openxmlformats-officedocument.spreadsheetml.table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07381e93564f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راهنما و وضعیت" sheetId="1" r:id="R49fb120193274b1f"/>
    <x:sheet xmlns:r="http://schemas.openxmlformats.org/officeDocument/2006/relationships" name="نقشه فایل‌ها" sheetId="2" r:id="R08b6bb3de4e64840"/>
    <x:sheet xmlns:r="http://schemas.openxmlformats.org/officeDocument/2006/relationships" name="فازهای اجرا" sheetId="3" r:id="R6185f713401e4340"/>
    <x:sheet xmlns:r="http://schemas.openxmlformats.org/officeDocument/2006/relationships" name="مسیرها" sheetId="4" r:id="R1a2bd854b80b467c"/>
    <x:sheet xmlns:r="http://schemas.openxmlformats.org/officeDocument/2006/relationships" name="موجودیت‌ها و روابط" sheetId="5" r:id="Rd8eb72929df34e55"/>
    <x:sheet xmlns:r="http://schemas.openxmlformats.org/officeDocument/2006/relationships" name="کامپوننت‌ها" sheetId="6" r:id="R91d713f01a564cb8"/>
    <x:sheet xmlns:r="http://schemas.openxmlformats.org/officeDocument/2006/relationships" name="CMS و دیتابیس" sheetId="7" r:id="R495adad11f5d47f9"/>
    <x:sheet xmlns:r="http://schemas.openxmlformats.org/officeDocument/2006/relationships" name="تست پذیرش" sheetId="8" r:id="R57b69d002557406d"/>
    <x:sheet xmlns:r="http://schemas.openxmlformats.org/officeDocument/2006/relationships" name="داده و تصمیم مالک" sheetId="9" r:id="Rc2d703f399ec410f"/>
    <x:sheet xmlns:r="http://schemas.openxmlformats.org/officeDocument/2006/relationships" name="تحویل‌های عباس" sheetId="10" r:id="R57d1ea8681ed435f"/>
    <x:sheet xmlns:r="http://schemas.openxmlformats.org/officeDocument/2006/relationships" name="قواعد دامنه و فازبندی" sheetId="11" r:id="Rbba1ba7b33364bc6"/>
    <x:sheet xmlns:r="http://schemas.openxmlformats.org/officeDocument/2006/relationships" name="دسترسی اجاره آینده" sheetId="12" r:id="R23de9776f44246a7"/>
    <x:sheet xmlns:r="http://schemas.openxmlformats.org/officeDocument/2006/relationships" name="بک‌لاگ زنده و اولویت" sheetId="13" r:id="R62a2494035c244cb"/>
    <x:sheet xmlns:r="http://schemas.openxmlformats.org/officeDocument/2006/relationships" name="قفل نهایی معماری" sheetId="14" r:id="R3c2b4fed8a934f0a"/>
    <x:sheet xmlns:r="http://schemas.openxmlformats.org/officeDocument/2006/relationships" name="ورود موبایل و حساب پایه" sheetId="15" r:id="R7785bd981cf443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8">
    <x:font>
      <x:sz val="11"/>
      <x:name val="Carlito"/>
    </x:font>
    <x:font>
      <x:b/>
      <x:sz val="15"/>
      <x:color rgb="FFA21420"/>
      <x:name val="Carlito"/>
    </x:font>
    <x:font>
      <x:b/>
      <x:sz val="10"/>
      <x:color rgb="FFFFFFFF"/>
      <x:name val="Carlito"/>
    </x:font>
    <x:font>
      <x:b/>
      <x:sz val="11"/>
      <x:color rgb="FFFFFFFF"/>
      <x:name val="Carlito"/>
    </x:font>
    <x:font>
      <x:sz val="10"/>
      <x:color rgb="FF6D5310"/>
      <x:name val="Carlito"/>
    </x:font>
    <x:font>
      <x:b/>
      <x:sz val="13"/>
      <x:color rgb="FFFFFFFF"/>
      <x:name val="Carlito"/>
    </x:font>
    <x:font>
      <x:b/>
      <x:sz val="15"/>
      <x:color rgb="FFFFFFFF"/>
      <x:name val="Carlito"/>
    </x:font>
    <x:font>
      <x:sz val="11"/>
      <x:color rgb="FF76590F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FBE9EA"/>
      </x:patternFill>
    </x:fill>
    <x:fill>
      <x:patternFill patternType="solid">
        <x:fgColor rgb="FFD21E2B"/>
      </x:patternFill>
    </x:fill>
    <x:fill>
      <x:patternFill patternType="solid">
        <x:fgColor rgb="FF17161B"/>
      </x:patternFill>
    </x:fill>
    <x:fill>
      <x:patternFill patternType="solid">
        <x:fgColor rgb="FFFFF3D6"/>
      </x:patternFill>
    </x:fill>
    <x:fill>
      <x:patternFill patternType="solid">
        <x:fgColor rgb="FF17161B"/>
      </x:patternFill>
    </x:fill>
    <x:fill>
      <x:patternFill patternType="solid">
        <x:fgColor rgb="FFD91F2A"/>
      </x:patternFill>
    </x:fill>
    <x:fill>
      <x:patternFill patternType="solid">
        <x:fgColor rgb="FFFFF3D6"/>
      </x:patternFill>
    </x:fill>
    <x:fill>
      <x:patternFill patternType="solid">
        <x:fgColor rgb="FFFFFFFF"/>
      </x:patternFill>
    </x:fill>
    <x:fill>
      <x:patternFill patternType="solid">
        <x:fgColor rgb="FF17161B"/>
      </x:patternFill>
    </x:fill>
    <x:fill>
      <x:patternFill patternType="solid">
        <x:fgColor rgb="FFD91F2A"/>
      </x:patternFill>
    </x:fill>
  </x:fills>
  <x:borders count="2">
    <x:border/>
    <x:border/>
  </x:borders>
  <x:cellStyleXfs count="1">
    <x:xf numFmtId="0" fontId="0" fillId="0" borderId="0"/>
  </x:cellStyleXfs>
  <x:cellXfs count="8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right"/>
    </x:xf>
    <x:xf numFmtId="0" fontId="1" fillId="2" borderId="0" xfId="0" applyNumberFormat="1" applyFont="1" applyFill="1" applyBorder="1" applyAlignment="1">
      <x:alignment horizontal="righ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right"/>
    </x:xf>
    <x:xf numFmtId="0" fontId="1" fillId="2" borderId="1" xfId="0" applyNumberFormat="1" applyFont="1" applyFill="1" applyBorder="1" applyAlignment="1">
      <x:alignment horizontal="righ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5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0" fontId="3" fillId="7" borderId="0" xfId="0" applyNumberFormat="1" applyFont="1" applyFill="1" applyBorder="1" applyAlignment="1">
      <x:alignment horizontal="center" vertical="center"/>
    </x:xf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0" fontId="6" fillId="6" borderId="0" xfId="0" applyNumberFormat="1" applyFont="1" applyFill="1" applyBorder="1" applyAlignment="1">
      <x:alignment horizontal="center" vertical="center"/>
    </x:xf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horizontal="center" wrapText="1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wrapText="1"/>
    </x:xf>
    <x:xf numFmtId="0" fontId="7" fillId="8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horizontal="center" wrapText="1"/>
    </x:xf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/>
    <x:xf numFmtId="0" fontId="0" fillId="9" xfId="0" applyNumberFormat="1" applyFont="1" applyFill="1" applyBorder="0"/>
    <x:xf numFmtId="0" fontId="0" fillId="9" xfId="0" applyNumberFormat="1" applyFont="1" applyFill="1" applyBorder="0" applyAlignment="1">
      <x:alignment horizontal="center"/>
    </x:xf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center" vertical="center"/>
    </x:xf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horizontal="center"/>
    </x:xf>
    <x:xf numFmtId="0" fontId="6" fillId="4" borderId="0" xfId="0" applyNumberFormat="1" applyFont="1" applyFill="1" applyBorder="1" applyAlignment="1">
      <x:alignment horizontal="center" vertical="center"/>
    </x:xf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horizontal="center" wrapText="1"/>
    </x:xf>
    <x:xf numFmtId="0" fontId="0" fillId="10" borderId="0" xfId="0" applyNumberFormat="1" applyFont="1" applyFill="1" applyBorder="1"/>
    <x:xf numFmtId="0" fontId="6" fillId="10" borderId="0" xfId="0" applyNumberFormat="1" applyFont="1" applyFill="1" applyBorder="1"/>
    <x:xf numFmtId="0" fontId="6" fillId="10" borderId="0" xfId="0" applyNumberFormat="1" applyFont="1" applyFill="1" applyBorder="1" applyAlignment="1">
      <x:alignment horizontal="center"/>
    </x:xf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3" fillId="11" borderId="0" xfId="0" applyNumberFormat="1" applyFont="1" applyFill="1" applyBorder="1" applyAlignment="1">
      <x:alignment wrapText="1"/>
    </x:xf>
    <x:xf numFmtId="0" fontId="3" fillId="11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1">
    <x:dxf>
      <x:fill>
        <x:patternFill>
          <x:bgColor rgb="FFF3E8F6"/>
        </x:patternFill>
      </x:fill>
    </x:dxf>
    <x:dxf>
      <x:fill>
        <x:patternFill>
          <x:bgColor rgb="FFFFF3D6"/>
        </x:patternFill>
      </x:fill>
    </x:dxf>
    <x:dxf>
      <x:fill>
        <x:patternFill>
          <x:bgColor rgb="FFE4F2EB"/>
        </x:patternFill>
      </x:fill>
    </x:dxf>
    <x:dxf>
      <x:fill>
        <x:patternFill>
          <x:bgColor rgb="FFFBE9EA"/>
        </x:patternFill>
      </x:fill>
    </x:dxf>
    <x:dxf>
      <x:fill>
        <x:patternFill>
          <x:bgColor rgb="FFF3E8F6"/>
        </x:patternFill>
      </x:fill>
    </x:dxf>
    <x:dxf>
      <x:font>
        <x:b/>
        <x:color rgb="FF1F6B45"/>
      </x:font>
      <x:fill>
        <x:patternFill>
          <x:bgColor rgb="FFDDF3E5"/>
        </x:patternFill>
      </x:fill>
    </x:dxf>
    <x:dxf>
      <x:font>
        <x:color rgb="FF666666"/>
      </x:font>
      <x:fill>
        <x:patternFill>
          <x:bgColor rgb="FFEEEEEE"/>
        </x:patternFill>
      </x:fill>
    </x:dxf>
    <x:dxf>
      <x:font>
        <x:b/>
        <x:color rgb="FF8A1720"/>
      </x:font>
      <x:fill>
        <x:patternFill>
          <x:bgColor rgb="FFF8D7DA"/>
        </x:patternFill>
      </x:fill>
    </x:dxf>
    <x:dxf>
      <x:font>
        <x:b/>
        <x:color rgb="FF7A5A00"/>
      </x:font>
      <x:fill>
        <x:patternFill>
          <x:bgColor rgb="FFFFF3CD"/>
        </x:patternFill>
      </x:fill>
    </x:dxf>
    <x:dxf>
      <x:font>
        <x:b/>
        <x:color rgb="FF1D4F7A"/>
      </x:font>
      <x:fill>
        <x:patternFill>
          <x:bgColor rgb="FFDDEBF7"/>
        </x:patternFill>
      </x:fill>
    </x:dxf>
    <x:dxf>
      <x:font>
        <x:b/>
        <x:color rgb="FF666666"/>
      </x:font>
      <x:fill>
        <x:patternFill>
          <x:bgColor rgb="FFEEEEE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164bed099f4075" /><Relationship Type="http://schemas.openxmlformats.org/officeDocument/2006/relationships/theme" Target="/xl/theme/theme1.xml" Id="Ra7759f92d4164d4b" /><Relationship Type="http://schemas.openxmlformats.org/officeDocument/2006/relationships/sharedStrings" Target="/xl/sharedStrings.xml" Id="Rebb502a0b81044df" /><Relationship Type="http://schemas.openxmlformats.org/officeDocument/2006/relationships/worksheet" Target="/xl/worksheets/sheet1.xml" Id="R49fb120193274b1f" /><Relationship Type="http://schemas.openxmlformats.org/officeDocument/2006/relationships/worksheet" Target="/xl/worksheets/sheet2.xml" Id="R08b6bb3de4e64840" /><Relationship Type="http://schemas.openxmlformats.org/officeDocument/2006/relationships/worksheet" Target="/xl/worksheets/sheet3.xml" Id="R6185f713401e4340" /><Relationship Type="http://schemas.openxmlformats.org/officeDocument/2006/relationships/worksheet" Target="/xl/worksheets/sheet4.xml" Id="R1a2bd854b80b467c" /><Relationship Type="http://schemas.openxmlformats.org/officeDocument/2006/relationships/worksheet" Target="/xl/worksheets/sheet5.xml" Id="Rd8eb72929df34e55" /><Relationship Type="http://schemas.openxmlformats.org/officeDocument/2006/relationships/worksheet" Target="/xl/worksheets/sheet6.xml" Id="R91d713f01a564cb8" /><Relationship Type="http://schemas.openxmlformats.org/officeDocument/2006/relationships/worksheet" Target="/xl/worksheets/sheet7.xml" Id="R495adad11f5d47f9" /><Relationship Type="http://schemas.openxmlformats.org/officeDocument/2006/relationships/worksheet" Target="/xl/worksheets/sheet8.xml" Id="R57b69d002557406d" /><Relationship Type="http://schemas.openxmlformats.org/officeDocument/2006/relationships/worksheet" Target="/xl/worksheets/sheet9.xml" Id="Rc2d703f399ec410f" /><Relationship Type="http://schemas.openxmlformats.org/officeDocument/2006/relationships/worksheet" Target="/xl/worksheets/sheet10.xml" Id="R57d1ea8681ed435f" /><Relationship Type="http://schemas.openxmlformats.org/officeDocument/2006/relationships/worksheet" Target="/xl/worksheets/sheet11.xml" Id="Rbba1ba7b33364bc6" /><Relationship Type="http://schemas.openxmlformats.org/officeDocument/2006/relationships/worksheet" Target="/xl/worksheets/sheet12.xml" Id="R23de9776f44246a7" /><Relationship Type="http://schemas.openxmlformats.org/officeDocument/2006/relationships/worksheet" Target="/xl/worksheets/sheet13.xml" Id="R62a2494035c244cb" /><Relationship Type="http://schemas.openxmlformats.org/officeDocument/2006/relationships/worksheet" Target="/xl/worksheets/sheet14.xml" Id="R3c2b4fed8a934f0a" /><Relationship Type="http://schemas.openxmlformats.org/officeDocument/2006/relationships/worksheet" Target="/xl/worksheets/sheet15.xml" Id="R7785bd981cf44372" /></Relationships>
</file>

<file path=xl/tables/table1.xml><?xml version="1.0" encoding="utf-8"?>
<x:table xmlns:x="http://schemas.openxmlformats.org/spreadsheetml/2006/main" id="1" name="LiveBacklogPriorityTable" displayName="LiveBacklogPriorityTable" ref="A4:Q31" headerRowCount="1">
  <x:tableColumns count="17">
    <x:tableColumn id="1" name="کد"/>
    <x:tableColumn id="2" name="قابلیت"/>
    <x:tableColumn id="3" name="حوزه"/>
    <x:tableColumn id="4" name="فاز هدف"/>
    <x:tableColumn id="5" name="حالت اجرا"/>
    <x:tableColumn id="6" name="اثر رتبه/فروش"/>
    <x:tableColumn id="7" name="ضرورت زیرساخت"/>
    <x:tableColumn id="8" name="کاهش ریسک آینده"/>
    <x:tableColumn id="9" name="اثر کاربر"/>
    <x:tableColumn id="10" name="فوریت"/>
    <x:tableColumn id="11" name="پیچیدگی"/>
    <x:tableColumn id="12" name="امتیاز"/>
    <x:tableColumn id="13" name="اولویت"/>
    <x:tableColumn id="14" name="مسئول"/>
    <x:tableColumn id="15" name="گیت پذیرش"/>
    <x:tableColumn id="16" name="وضعیت"/>
    <x:tableColumn id="17" name="توضیح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.xml" Id="R0e9c89df7a7e4087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48" hidden="0" customWidth="1"/>
    <x:col min="3" max="3" width="4" hidden="0" customWidth="1"/>
    <x:col min="4" max="4" width="11" hidden="0" customWidth="1"/>
    <x:col min="5" max="5" width="24" hidden="0" customWidth="1"/>
    <x:col min="6" max="6" width="52" hidden="0" customWidth="1"/>
    <x:col min="7" max="7" width="16" hidden="0" customWidth="1"/>
    <x:col min="8" max="8" width="20" hidden="0" customWidth="1"/>
  </x:cols>
  <x:sheetData>
    <x:row r="1">
      <x:c r="A1" s="5" t="str">
        <x:v>رجیستری نهایی اجرای وب‌سایت چتر قرمز برای عباس - v4.2 Route Integrity</x:v>
      </x:c>
      <x:c r="B1" s="5"/>
      <x:c r="C1" s="5"/>
      <x:c r="D1" s="5"/>
      <x:c r="E1" s="5"/>
      <x:c r="F1" s="5"/>
      <x:c r="G1" s="5"/>
      <x:c r="H1" s="5"/>
    </x:row>
    <x:row r="2">
      <x:c r="A2" s="44"/>
      <x:c r="B2" s="44"/>
      <x:c r="C2" s="44"/>
      <x:c r="D2" s="44"/>
      <x:c r="E2" s="44"/>
      <x:c r="F2" s="44"/>
      <x:c r="G2" s="44"/>
      <x:c r="H2" s="44"/>
    </x:row>
    <x:row r="3">
      <x:c r="A3" s="13" t="str">
        <x:v>وضعیت بسته</x:v>
      </x:c>
      <x:c r="B3" s="45" t="str">
        <x:v>مرجع نهایی و جایگزین v3، v3.1، v4 و v4.1</x:v>
      </x:c>
      <x:c r="C3" s="44"/>
      <x:c r="D3" s="23" t="str">
        <x:v>ترتیب قطعی اجرا</x:v>
      </x:c>
      <x:c r="E3" s="23"/>
      <x:c r="F3" s="23"/>
      <x:c r="G3" s="23"/>
      <x:c r="H3" s="23"/>
    </x:row>
    <x:row r="4">
      <x:c r="A4" s="13" t="str">
        <x:v>هدف فعلی</x:v>
      </x:c>
      <x:c r="B4" s="45" t="str">
        <x:v>راه‌اندازی سایت رتبه‌گیر و فروش‌ساز؛ بدون توسعه زودهنگام قابلیت‌های آینده</x:v>
      </x:c>
      <x:c r="C4" s="44"/>
      <x:c r="D4" s="45" t="n">
        <x:v>0</x:v>
      </x:c>
      <x:c r="E4" s="45" t="str">
        <x:v>پیش‌پرواز</x:v>
      </x:c>
      <x:c r="F4" s="45" t="str">
        <x:v>Staging، Git، نسخه پشتیبان، Snapshot سایت فعلی و گزارش محیط</x:v>
      </x:c>
      <x:c r="G4" s="45" t="str">
        <x:v>عباس</x:v>
      </x:c>
      <x:c r="H4" s="45" t="str">
        <x:v>پس از پاس گیت قبلی</x:v>
      </x:c>
    </x:row>
    <x:row r="5">
      <x:c r="A5" s="13" t="str">
        <x:v>منبع هوم</x:v>
      </x:c>
      <x:c r="B5" s="45" t="str">
        <x:v>abs_03_home_master_responsive_FINAL_v4_2.html</x:v>
      </x:c>
      <x:c r="C5" s="44"/>
      <x:c r="D5" s="45" t="n">
        <x:v>1</x:v>
      </x:c>
      <x:c r="E5" s="45" t="str">
        <x:v>زیرساخت فنی</x:v>
      </x:c>
      <x:c r="F5" s="45" t="str">
        <x:v>پوسته Theme، افزونه Core، موجودیت‌ها، Routeها، API، Feature Flag، Commerce Adapter و تست‌ها</x:v>
      </x:c>
      <x:c r="G5" s="45" t="str">
        <x:v>عباس</x:v>
      </x:c>
      <x:c r="H5" s="45" t="str">
        <x:v>پس از پاس گیت قبلی</x:v>
      </x:c>
    </x:row>
    <x:row r="6">
      <x:c r="A6" s="13" t="str">
        <x:v>پلتفرم</x:v>
      </x:c>
      <x:c r="B6" s="45" t="str">
        <x:v>WordPress + WooCommerce + chatreghermez-core</x:v>
      </x:c>
      <x:c r="C6" s="44"/>
      <x:c r="D6" s="45" t="n">
        <x:v>2</x:v>
      </x:c>
      <x:c r="E6" s="45" t="str">
        <x:v>هوم</x:v>
      </x:c>
      <x:c r="F6" s="45" t="str">
        <x:v>پیاده‌سازی هوم Responsive واحد از روی فایل abs_03 و داده داینامیک CMS</x:v>
      </x:c>
      <x:c r="G6" s="45" t="str">
        <x:v>عباس</x:v>
      </x:c>
      <x:c r="H6" s="45" t="str">
        <x:v>پس از پاس گیت قبلی</x:v>
      </x:c>
    </x:row>
    <x:row r="7">
      <x:c r="A7" s="13" t="str">
        <x:v>ورود نسخه اولیه</x:v>
      </x:c>
      <x:c r="B7" s="45" t="str">
        <x:v>شماره موبایل + OTP؛ الزامی</x:v>
      </x:c>
      <x:c r="C7" s="44"/>
      <x:c r="D7" s="45" t="n">
        <x:v>3</x:v>
      </x:c>
      <x:c r="E7" s="45" t="str">
        <x:v>خدمات، محصولات، چاپ، پروژه‌ها، پورتفولیو، راهکارها، توانمندی‌ها، ویدئو، مجله و صفحات اعتماد/حقوقی</x:v>
      </x:c>
      <x:c r="F7" s="45" t="str">
        <x:v>خدمات، محصولات، پروژه‌ها، پورتفولیو، راهکارها، توانمندی‌ها، مجله و صفحات اعتماد</x:v>
      </x:c>
      <x:c r="G7" s="45" t="str">
        <x:v>عباس</x:v>
      </x:c>
      <x:c r="H7" s="45" t="str">
        <x:v>پس از پاس گیت قبلی</x:v>
      </x:c>
    </x:row>
    <x:row r="8">
      <x:c r="A8" s="13" t="str">
        <x:v>قانون تغییر</x:v>
      </x:c>
      <x:c r="B8" s="45" t="str">
        <x:v>معماری تا رونمایی + چرخه ۳۰ روزه قفل است؛ ایده تازه فقط بک‌لاگ</x:v>
      </x:c>
      <x:c r="C8" s="44"/>
      <x:c r="D8" s="45" t="n">
        <x:v>4</x:v>
      </x:c>
      <x:c r="E8" s="45" t="str">
        <x:v>ماژول اجاره رسانه</x:v>
      </x:c>
      <x:c r="F8" s="45" t="str">
        <x:v>افزونه افزایشی شامل MediaAsset، تقویم، Hold، Reservation، نقشه و عملیات</x:v>
      </x:c>
      <x:c r="G8" s="45" t="str">
        <x:v>عباس</x:v>
      </x:c>
      <x:c r="H8" s="45" t="str">
        <x:v>پس از پاس گیت قبلی</x:v>
      </x:c>
    </x:row>
    <x:row r="9">
      <x:c r="A9" s="44"/>
      <x:c r="B9" s="44"/>
      <x:c r="C9" s="44"/>
      <x:c r="D9" s="44"/>
      <x:c r="E9" s="44"/>
      <x:c r="F9" s="44"/>
      <x:c r="G9" s="44"/>
      <x:c r="H9" s="44"/>
    </x:row>
    <x:row r="10">
      <x:c r="A10" s="44"/>
      <x:c r="B10" s="44"/>
      <x:c r="C10" s="44"/>
      <x:c r="D10" s="44"/>
      <x:c r="E10" s="44"/>
      <x:c r="F10" s="44"/>
      <x:c r="G10" s="44"/>
      <x:c r="H10" s="44"/>
    </x:row>
    <x:row r="11">
      <x:c r="A11" s="23" t="str">
        <x:v>خط قرمزها</x:v>
      </x:c>
      <x:c r="B11" s="23"/>
      <x:c r="C11" s="23"/>
      <x:c r="D11" s="23"/>
      <x:c r="E11" s="23"/>
      <x:c r="F11" s="23"/>
      <x:c r="G11" s="23"/>
      <x:c r="H11" s="23"/>
    </x:row>
    <x:row r="12">
      <x:c r="A12" s="44" t="n">
        <x:v>1</x:v>
      </x:c>
      <x:c r="B12" s="46" t="str">
        <x:v>پیاده‌سازی Backend بر اساس هیچ بسته قبلی مجاز نیست.</x:v>
      </x:c>
      <x:c r="C12" s="44"/>
      <x:c r="D12" s="44"/>
      <x:c r="E12" s="44"/>
      <x:c r="F12" s="44"/>
      <x:c r="G12" s="44"/>
      <x:c r="H12" s="44"/>
    </x:row>
    <x:row r="13">
      <x:c r="A13" s="44" t="n">
        <x:v>2</x:v>
      </x:c>
      <x:c r="B13" s="46" t="str">
        <x:v>ساخت نسخه‌های جداگانه دسکتاپ و موبایل مجاز نیست.</x:v>
      </x:c>
      <x:c r="C13" s="44"/>
      <x:c r="D13" s="44"/>
      <x:c r="E13" s="44"/>
      <x:c r="F13" s="44"/>
      <x:c r="G13" s="44"/>
      <x:c r="H13" s="44"/>
    </x:row>
    <x:row r="14">
      <x:c r="A14" s="44" t="n">
        <x:v>3</x:v>
      </x:c>
      <x:c r="B14" s="46" t="str">
        <x:v>ذخیره تقویم اجاره در Product یا متن صفحه مجاز نیست.</x:v>
      </x:c>
      <x:c r="C14" s="44"/>
      <x:c r="D14" s="44"/>
      <x:c r="E14" s="44"/>
      <x:c r="F14" s="44"/>
      <x:c r="G14" s="44"/>
      <x:c r="H14" s="44"/>
    </x:row>
    <x:row r="15">
      <x:c r="A15" s="44" t="n">
        <x:v>4</x:v>
      </x:c>
      <x:c r="B15" s="46" t="str">
        <x:v>ارسال مستقیم SMS از Template یا JavaScript صفحه مجاز نیست.</x:v>
      </x:c>
      <x:c r="C15" s="44"/>
      <x:c r="D15" s="44"/>
      <x:c r="E15" s="44"/>
      <x:c r="F15" s="44"/>
      <x:c r="G15" s="44"/>
      <x:c r="H15" s="44"/>
    </x:row>
    <x:row r="16">
      <x:c r="A16" s="44" t="n">
        <x:v>5</x:v>
      </x:c>
      <x:c r="B16" s="46" t="str">
        <x:v>اتصال پرداخت Production پیش از Sandbox و قفل سیاست‌های مالک مجاز نیست.</x:v>
      </x:c>
      <x:c r="C16" s="44"/>
      <x:c r="D16" s="44"/>
      <x:c r="E16" s="44"/>
      <x:c r="F16" s="44"/>
      <x:c r="G16" s="44"/>
      <x:c r="H16" s="44"/>
    </x:row>
    <x:row r="17">
      <x:c r="A17" s="44" t="n">
        <x:v>6</x:v>
      </x:c>
      <x:c r="B17" s="46" t="str">
        <x:v>انتشار موجودی اجاره پیش از عبور از Feature Gate مجاز نیست.</x:v>
      </x:c>
      <x:c r="C17" s="44"/>
      <x:c r="D17" s="44"/>
      <x:c r="E17" s="44"/>
      <x:c r="F17" s="44"/>
      <x:c r="G17" s="44"/>
      <x:c r="H17" s="44"/>
    </x:row>
    <x:row r="18">
      <x:c r="A18" s="44"/>
      <x:c r="B18" s="44"/>
      <x:c r="C18" s="44"/>
      <x:c r="D18" s="44"/>
      <x:c r="E18" s="44"/>
      <x:c r="F18" s="44"/>
      <x:c r="G18" s="44"/>
      <x:c r="H18" s="44"/>
    </x:row>
    <x:row r="19" ht="28" customHeight="1">
      <x:c r="A19" s="40" t="str">
        <x:v>قفل دامنه v3.1</x:v>
      </x:c>
      <x:c r="B19" s="40"/>
      <x:c r="C19" s="40"/>
      <x:c r="D19" s="40"/>
      <x:c r="E19" s="40"/>
      <x:c r="F19" s="40"/>
      <x:c r="G19" s="40"/>
      <x:c r="H19" s="40"/>
    </x:row>
    <x:row r="20" ht="28" customHeight="1">
      <x:c r="A20" s="47" t="str">
        <x:v>اصل</x:v>
      </x:c>
      <x:c r="B20" s="45" t="str">
        <x:v>کمترین زیرساخت پایدار اکنون؛ ثبت قابلیت آینده بدون اجرای زودهنگام</x:v>
      </x:c>
      <x:c r="C20" s="45"/>
      <x:c r="D20" s="45"/>
      <x:c r="E20" s="45"/>
      <x:c r="F20" s="45"/>
      <x:c r="G20" s="45"/>
      <x:c r="H20" s="45"/>
    </x:row>
    <x:row r="21" ht="28" customHeight="1">
      <x:c r="A21" s="47" t="str">
        <x:v>اجاره</x:v>
      </x:c>
      <x:c r="B21" s="45" t="str">
        <x:v>قیمت و تقویم فقط پس از ورود مشتری؛ پیاده‌سازی کامل در فاز ۴</x:v>
      </x:c>
      <x:c r="C21" s="45"/>
      <x:c r="D21" s="45"/>
      <x:c r="E21" s="45"/>
      <x:c r="F21" s="45"/>
      <x:c r="G21" s="45"/>
      <x:c r="H21" s="45"/>
    </x:row>
    <x:row r="22" ht="28" customHeight="1">
      <x:c r="A22" s="47" t="str">
        <x:v>رزرو خصوصی</x:v>
      </x:c>
      <x:c r="B22" s="45" t="str">
        <x:v>مدیر می‌تواند بازه را برای مشتری منتخب قفل کند؛ ساخت عملیاتی در فاز ۴</x:v>
      </x:c>
      <x:c r="C22" s="45"/>
      <x:c r="D22" s="45"/>
      <x:c r="E22" s="45"/>
      <x:c r="F22" s="45"/>
      <x:c r="G22" s="45"/>
      <x:c r="H22" s="45"/>
    </x:row>
    <x:row r="23" ht="28" customHeight="1">
      <x:c r="A23" s="47" t="str">
        <x:v>پشتیبانی</x:v>
      </x:c>
      <x:c r="B23" s="45" t="str">
        <x:v>تیکت، گفتگو، عکس/فایل و تأیید طرح اکنون فقط Interface/Mount Point</x:v>
      </x:c>
      <x:c r="C23" s="45"/>
      <x:c r="D23" s="45"/>
      <x:c r="E23" s="45"/>
      <x:c r="F23" s="45"/>
      <x:c r="G23" s="45"/>
      <x:c r="H23" s="45"/>
    </x:row>
    <x:row r="24" ht="28" customHeight="1">
      <x:c r="A24" s="47" t="str">
        <x:v>خارج از فاز ۱</x:v>
      </x:c>
      <x:c r="B24" s="45" t="str">
        <x:v>حساب سازمانی چندکاربره، CRM کامل، Retention پیشرفته و موتور اجاره</x:v>
      </x:c>
      <x:c r="C24" s="45"/>
      <x:c r="D24" s="45"/>
      <x:c r="E24" s="45"/>
      <x:c r="F24" s="45"/>
      <x:c r="G24" s="45"/>
      <x:c r="H24" s="45"/>
    </x:row>
    <x:row r="25" ht="28" customHeight="1">
      <x:c r="A25" s="47" t="str">
        <x:v>مرجع اولویت</x:v>
      </x:c>
      <x:c r="B25" s="45" t="str">
        <x:v>Sheet «بک‌لاگ زنده و اولویت»؛ امتیاز و فاز هر قابلیت در آن ثبت می‌شود</x:v>
      </x:c>
      <x:c r="C25" s="45"/>
      <x:c r="D25" s="45"/>
      <x:c r="E25" s="45"/>
      <x:c r="F25" s="45"/>
      <x:c r="G25" s="45"/>
      <x:c r="H25" s="45"/>
    </x:row>
  </x:sheetData>
  <x:mergeCells>
    <x:mergeCell ref="A1:H1"/>
    <x:mergeCell ref="D3:H3"/>
    <x:mergeCell ref="A11:H11"/>
    <x:mergeCell ref="A19:H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8" hidden="0" customWidth="1"/>
    <x:col min="3" max="3" width="12" hidden="0" customWidth="1"/>
    <x:col min="4" max="4" width="34" hidden="0" customWidth="1"/>
    <x:col min="5" max="5" width="26" hidden="0" customWidth="1"/>
    <x:col min="6" max="6" width="12" hidden="0" customWidth="1"/>
    <x:col min="7" max="7" width="24" hidden="0" customWidth="1"/>
  </x:cols>
  <x:sheetData>
    <x:row r="1" ht="15" hidden="0" customHeight="1">
      <x:c r="A1" s="81" t="str">
        <x:v>ترتیب</x:v>
      </x:c>
      <x:c r="B1" s="81" t="str">
        <x:v>نام فایل</x:v>
      </x:c>
      <x:c r="C1" s="81" t="str">
        <x:v>نوع</x:v>
      </x:c>
      <x:c r="D1" s="81" t="str">
        <x:v>کاربرد</x:v>
      </x:c>
      <x:c r="E1" s="81" t="str">
        <x:v>زمان استفاده</x:v>
      </x:c>
      <x:c r="F1" s="81" t="str">
        <x:v>الزام</x:v>
      </x:c>
      <x:c r="G1" s="81" t="str">
        <x:v>منسوخ‌کننده</x:v>
      </x:c>
    </x:row>
    <x:row r="2" ht="15" hidden="0" customHeight="1">
      <x:c r="A2" s="18" t="n">
        <x:v>0</x:v>
      </x:c>
      <x:c r="B2" s="18" t="str">
        <x:v>abs_00_START_HERE_FINAL_v4_2.txt</x:v>
      </x:c>
      <x:c r="C2" s="18" t="str">
        <x:v>TXT</x:v>
      </x:c>
      <x:c r="D2" s="18" t="str">
        <x:v>نقطه شروع، حکم جایگزینی و ترتیب اجرا</x:v>
      </x:c>
      <x:c r="E2" s="18" t="str">
        <x:v>قبل از هر فعالیت</x:v>
      </x:c>
      <x:c r="F2" s="18" t="str">
        <x:v>اجباری</x:v>
      </x:c>
      <x:c r="G2" s="18" t="str">
        <x:v>STARTهای قبلی</x:v>
      </x:c>
    </x:row>
    <x:row r="3" ht="15" hidden="0" customHeight="1">
      <x:c r="A3" s="18" t="n">
        <x:v>1</x:v>
      </x:c>
      <x:c r="B3" s="18" t="str">
        <x:v>abs_01_راهنمای_نهایی_گام_به_گام_عباس_v4_2.docx</x:v>
      </x:c>
      <x:c r="C3" s="18" t="str">
        <x:v>DOCX</x:v>
      </x:c>
      <x:c r="D3" s="18" t="str">
        <x:v>راهنمای قابل‌ویرایش اجرای مرحله‌ای</x:v>
      </x:c>
      <x:c r="E3" s="18" t="str">
        <x:v>ابتدای پروژه و هر فاز</x:v>
      </x:c>
      <x:c r="F3" s="18" t="str">
        <x:v>مرجع</x:v>
      </x:c>
      <x:c r="G3" s="18" t="str">
        <x:v>راهنماهای v3/v4.1</x:v>
      </x:c>
    </x:row>
    <x:row r="4" ht="15" hidden="0" customHeight="1">
      <x:c r="A4" s="18" t="n">
        <x:v>2</x:v>
      </x:c>
      <x:c r="B4" s="18" t="str">
        <x:v>abs_02_راهنمای_نهایی_گام_به_گام_عباس_v4_2.pdf</x:v>
      </x:c>
      <x:c r="C4" s="18" t="str">
        <x:v>PDF</x:v>
      </x:c>
      <x:c r="D4" s="18" t="str">
        <x:v>نسخه ثابت راهنمای مرحله‌ای</x:v>
      </x:c>
      <x:c r="E4" s="18" t="str">
        <x:v>ابتدای پروژه و هر فاز</x:v>
      </x:c>
      <x:c r="F4" s="18" t="str">
        <x:v>اجباری</x:v>
      </x:c>
      <x:c r="G4" s="18" t="str">
        <x:v>راهنماهای v3/v4.1</x:v>
      </x:c>
    </x:row>
    <x:row r="5" ht="15" hidden="0" customHeight="1">
      <x:c r="A5" s="18" t="n">
        <x:v>3</x:v>
      </x:c>
      <x:c r="B5" s="18" t="str">
        <x:v>abs_03_home_master_responsive_FINAL_v4_2.html</x:v>
      </x:c>
      <x:c r="C5" s="18" t="str">
        <x:v>HTML</x:v>
      </x:c>
      <x:c r="D5" s="18" t="str">
        <x:v>تنها مرجع بصری و رفتاری هوم</x:v>
      </x:c>
      <x:c r="E5" s="18" t="str">
        <x:v>فاز ۲</x:v>
      </x:c>
      <x:c r="F5" s="18" t="str">
        <x:v>اجباری</x:v>
      </x:c>
      <x:c r="G5" s="18" t="str">
        <x:v>هوم v4.1 و قبل‌تر</x:v>
      </x:c>
    </x:row>
    <x:row r="6" ht="15" hidden="0" customHeight="1">
      <x:c r="A6" s="18" t="n">
        <x:v>4</x:v>
      </x:c>
      <x:c r="B6" s="18" t="str">
        <x:v>abs_04_final_technical_foundation_contract_v4_2.json</x:v>
      </x:c>
      <x:c r="C6" s="18" t="str">
        <x:v>JSON</x:v>
      </x:c>
      <x:c r="D6" s="18" t="str">
        <x:v>قرارداد زیرساخت، منابع حقیقت و فازها</x:v>
      </x:c>
      <x:c r="E6" s="18" t="str">
        <x:v>فاز ۱</x:v>
      </x:c>
      <x:c r="F6" s="18" t="str">
        <x:v>اجباری</x:v>
      </x:c>
      <x:c r="G6" s="18" t="str">
        <x:v>Foundation قبلی</x:v>
      </x:c>
    </x:row>
    <x:row r="7" ht="15" hidden="0" customHeight="1">
      <x:c r="A7" s="18" t="n">
        <x:v>5</x:v>
      </x:c>
      <x:c r="B7" s="18" t="str">
        <x:v>abs_05_final_architecture_model_v4_2.json</x:v>
      </x:c>
      <x:c r="C7" s="18" t="str">
        <x:v>JSON</x:v>
      </x:c>
      <x:c r="D7" s="18" t="str">
        <x:v>مدل صفحات، موجودیت‌ها و روابط</x:v>
      </x:c>
      <x:c r="E7" s="18" t="str">
        <x:v>تمام فازها</x:v>
      </x:c>
      <x:c r="F7" s="18" t="str">
        <x:v>اجباری</x:v>
      </x:c>
      <x:c r="G7" s="18" t="str">
        <x:v>Architecture v4.1</x:v>
      </x:c>
    </x:row>
    <x:row r="8" ht="15" hidden="0" customHeight="1">
      <x:c r="A8" s="18" t="n">
        <x:v>6</x:v>
      </x:c>
      <x:c r="B8" s="18" t="str">
        <x:v>abs_06_final_route_map_v4_2.json</x:v>
      </x:c>
      <x:c r="C8" s="18" t="str">
        <x:v>JSON</x:v>
      </x:c>
      <x:c r="D8" s="18" t="str">
        <x:v>Routeهای قفل، ریشه‌ها و Index policy</x:v>
      </x:c>
      <x:c r="E8" s="18" t="str">
        <x:v>فاز ۱ و مهاجرت</x:v>
      </x:c>
      <x:c r="F8" s="18" t="str">
        <x:v>اجباری</x:v>
      </x:c>
      <x:c r="G8" s="18" t="str">
        <x:v>Route Map v4.1</x:v>
      </x:c>
    </x:row>
    <x:row r="9" ht="15" hidden="0" customHeight="1">
      <x:c r="A9" s="18" t="n">
        <x:v>7</x:v>
      </x:c>
      <x:c r="B9" s="18" t="str">
        <x:v>abs_07_final_component_map_v4_2.json</x:v>
      </x:c>
      <x:c r="C9" s="18" t="str">
        <x:v>JSON</x:v>
      </x:c>
      <x:c r="D9" s="18" t="str">
        <x:v>کامپوننت‌های مشترک و Mountها</x:v>
      </x:c>
      <x:c r="E9" s="18" t="str">
        <x:v>فاز ۱ تا ۳</x:v>
      </x:c>
      <x:c r="F9" s="18" t="str">
        <x:v>اجباری</x:v>
      </x:c>
      <x:c r="G9" s="18" t="str">
        <x:v>Component Map v4.1</x:v>
      </x:c>
    </x:row>
    <x:row r="10" ht="15" hidden="0" customHeight="1">
      <x:c r="A10" s="18" t="n">
        <x:v>8</x:v>
      </x:c>
      <x:c r="B10" s="18" t="str">
        <x:v>abs_08_final_cms_data_model_v4.json</x:v>
      </x:c>
      <x:c r="C10" s="18" t="str">
        <x:v>JSON</x:v>
      </x:c>
      <x:c r="D10" s="18" t="str">
        <x:v>CPT، جدول‌ها، نقش‌ها و Migration</x:v>
      </x:c>
      <x:c r="E10" s="18" t="str">
        <x:v>فاز ۱</x:v>
      </x:c>
      <x:c r="F10" s="18" t="str">
        <x:v>اجباری</x:v>
      </x:c>
      <x:c r="G10" s="18" t="str">
        <x:v>مدل CMS قبلی</x:v>
      </x:c>
    </x:row>
    <x:row r="11" ht="26.399999618530273" hidden="0" customHeight="1">
      <x:c r="A11" s="18" t="n">
        <x:v>9</x:v>
      </x:c>
      <x:c r="B11" s="18" t="str">
        <x:v>abs_09_final_commerce_and_basic_account_contract_v2.json</x:v>
      </x:c>
      <x:c r="C11" s="18" t="str">
        <x:v>JSON</x:v>
      </x:c>
      <x:c r="D11" s="18" t="str">
        <x:v>فروشگاه، Cart، Order، Payment و حساب پایه</x:v>
      </x:c>
      <x:c r="E11" s="18" t="str">
        <x:v>فاز ۱</x:v>
      </x:c>
      <x:c r="F11" s="18" t="str">
        <x:v>اجباری</x:v>
      </x:c>
      <x:c r="G11" s="18" t="str">
        <x:v>پیاده‌سازی موردی فروشگاه</x:v>
      </x:c>
    </x:row>
    <x:row r="12" ht="15" hidden="0" customHeight="1">
      <x:c r="A12" s="18" t="n">
        <x:v>10</x:v>
      </x:c>
      <x:c r="B12" s="18" t="str">
        <x:v>abs_10_future_media_rental_extension_contract_v4.json</x:v>
      </x:c>
      <x:c r="C12" s="18" t="str">
        <x:v>JSON</x:v>
      </x:c>
      <x:c r="D12" s="18" t="str">
        <x:v>قرارداد افزایشی اجاره رسانه</x:v>
      </x:c>
      <x:c r="E12" s="18" t="str">
        <x:v>Extension Point در فاز ۱؛ اجرا در فاز ۴</x:v>
      </x:c>
      <x:c r="F12" s="18" t="str">
        <x:v>اجباری</x:v>
      </x:c>
      <x:c r="G12" s="18" t="str">
        <x:v>Rental Contract قبلی</x:v>
      </x:c>
    </x:row>
    <x:row r="13" ht="26.399999618530273" hidden="0" customHeight="1">
      <x:c r="A13" s="18" t="n">
        <x:v>11</x:v>
      </x:c>
      <x:c r="B13" s="18" t="str">
        <x:v>abs_11_final_implementation_registry_and_acceptance_v4_2.xlsx</x:v>
      </x:c>
      <x:c r="C13" s="18" t="str">
        <x:v>XLSX</x:v>
      </x:c>
      <x:c r="D13" s="18" t="str">
        <x:v>رجیستری، مسیرها، فازها و تست پذیرش</x:v>
      </x:c>
      <x:c r="E13" s="18" t="str">
        <x:v>تمام فازها</x:v>
      </x:c>
      <x:c r="F13" s="18" t="str">
        <x:v>اجباری</x:v>
      </x:c>
      <x:c r="G13" s="18" t="str">
        <x:v>رجیستری v4.1</x:v>
      </x:c>
    </x:row>
    <x:row r="14" ht="15" hidden="0" customHeight="1">
      <x:c r="A14" s="18" t="n">
        <x:v>12</x:v>
      </x:c>
      <x:c r="B14" s="18" t="str">
        <x:v>abs_12_final_site_sitemap_v4_2.svg</x:v>
      </x:c>
      <x:c r="C14" s="18" t="str">
        <x:v>SVG</x:v>
      </x:c>
      <x:c r="D14" s="18" t="str">
        <x:v>نقشه سطح بالای صفحات، Namespace و System routes</x:v>
      </x:c>
      <x:c r="E14" s="18" t="str">
        <x:v>فاز ۱ تا ۳</x:v>
      </x:c>
      <x:c r="F14" s="18" t="str">
        <x:v>مرجع</x:v>
      </x:c>
      <x:c r="G14" s="18" t="str">
        <x:v>Sitemap v4</x:v>
      </x:c>
    </x:row>
    <x:row r="15" ht="15" hidden="0" customHeight="1">
      <x:c r="A15" s="18" t="n">
        <x:v>13</x:v>
      </x:c>
      <x:c r="B15" s="18" t="str">
        <x:v>abs_13_final_technical_architecture_v4.svg</x:v>
      </x:c>
      <x:c r="C15" s="18" t="str">
        <x:v>SVG</x:v>
      </x:c>
      <x:c r="D15" s="18" t="str">
        <x:v>معماری افزایشی فنی</x:v>
      </x:c>
      <x:c r="E15" s="18" t="str">
        <x:v>فاز ۱</x:v>
      </x:c>
      <x:c r="F15" s="18" t="str">
        <x:v>مرجع</x:v>
      </x:c>
      <x:c r="G15" s="18" t="str">
        <x:v>نمودارهای پراکنده</x:v>
      </x:c>
    </x:row>
    <x:row r="16" ht="15" hidden="0" customHeight="1">
      <x:c r="A16" s="18" t="n">
        <x:v>14</x:v>
      </x:c>
      <x:c r="B16" s="18" t="str">
        <x:v>abs_14_mobile_OTP_identity_contract_v1.json</x:v>
      </x:c>
      <x:c r="C16" s="18" t="str">
        <x:v>JSON</x:v>
      </x:c>
      <x:c r="D16" s="18" t="str">
        <x:v>امنیت، نرمال‌سازی و API ورود موبایل</x:v>
      </x:c>
      <x:c r="E16" s="18" t="str">
        <x:v>فاز ۱</x:v>
      </x:c>
      <x:c r="F16" s="18" t="str">
        <x:v>اجباری</x:v>
      </x:c>
      <x:c r="G16" s="18" t="str">
        <x:v>بدون جایگزین</x:v>
      </x:c>
    </x:row>
    <x:row r="17" ht="15" hidden="0" customHeight="1">
      <x:c r="A17" s="18" t="n">
        <x:v>15</x:v>
      </x:c>
      <x:c r="B17" s="18" t="str">
        <x:v>abs_15_SCOPE_FREEZE_AND_CHANGE_CONTROL_v1.md</x:v>
      </x:c>
      <x:c r="C17" s="18" t="str">
        <x:v>MD</x:v>
      </x:c>
      <x:c r="D17" s="18" t="str">
        <x:v>قفل دامنه و کنترل تغییر</x:v>
      </x:c>
      <x:c r="E17" s="18" t="str">
        <x:v>تمام فازها</x:v>
      </x:c>
      <x:c r="F17" s="18" t="str">
        <x:v>اجباری</x:v>
      </x:c>
      <x:c r="G17" s="18" t="str">
        <x:v>تصمیم‌های شفاهی</x:v>
      </x:c>
    </x:row>
    <x:row r="18" ht="15" hidden="0" customHeight="1">
      <x:c r="A18" s="18" t="n">
        <x:v>16</x:v>
      </x:c>
      <x:c r="B18" s="18" t="str">
        <x:v>abs_16_FINAL_QC_report_v4_2.html / .json</x:v>
      </x:c>
      <x:c r="C18" s="18" t="str">
        <x:v>HTML/JSON</x:v>
      </x:c>
      <x:c r="D18" s="18" t="str">
        <x:v>شواهد و نتیجه آزمون بسته</x:v>
      </x:c>
      <x:c r="E18" s="18" t="str">
        <x:v>پیش از تحویل</x:v>
      </x:c>
      <x:c r="F18" s="18" t="str">
        <x:v>اجباری</x:v>
      </x:c>
      <x:c r="G18" s="18" t="str">
        <x:v>QC v4.1</x:v>
      </x:c>
    </x:row>
    <x:row r="19" ht="15" hidden="0" customHeight="1">
      <x:c r="A19" s="18" t="n">
        <x:v>17</x:v>
      </x:c>
      <x:c r="B19" s="18" t="str">
        <x:v>abs_17_MANIFEST_v4_2.csv</x:v>
      </x:c>
      <x:c r="C19" s="18" t="str">
        <x:v>CSV</x:v>
      </x:c>
      <x:c r="D19" s="18" t="str">
        <x:v>فهرست تمام فایل‌ها و اندازه</x:v>
      </x:c>
      <x:c r="E19" s="18" t="str">
        <x:v>تحویل و کنترل بسته</x:v>
      </x:c>
      <x:c r="F19" s="18" t="str">
        <x:v>مرجع</x:v>
      </x:c>
      <x:c r="G19" s="18" t="str">
        <x:v>Manifest v4.1</x:v>
      </x:c>
    </x:row>
    <x:row r="20" ht="15" hidden="0" customHeight="1">
      <x:c r="A20" s="18" t="n">
        <x:v>18</x:v>
      </x:c>
      <x:c r="B20" s="18" t="str">
        <x:v>abs_18_SHA256SUMS_v4_2.txt</x:v>
      </x:c>
      <x:c r="C20" s="18" t="str">
        <x:v>TXT</x:v>
      </x:c>
      <x:c r="D20" s="18" t="str">
        <x:v>کنترل یکپارچگی فایل‌ها</x:v>
      </x:c>
      <x:c r="E20" s="18" t="str">
        <x:v>پس از دریافت و پیش از اجرا</x:v>
      </x:c>
      <x:c r="F20" s="18" t="str">
        <x:v>اجباری</x:v>
      </x:c>
      <x:c r="G20" s="18" t="str">
        <x:v>Checksum v4.1</x:v>
      </x:c>
    </x:row>
    <x:row r="21" ht="15" hidden="0" customHeight="1">
      <x:c r="A21" s="18" t="n">
        <x:v>19</x:v>
      </x:c>
      <x:c r="B21" s="18" t="str">
        <x:v>abs_20_URGENT_REPLACE_V4_1_WITH_V4_2.txt</x:v>
      </x:c>
      <x:c r="C21" s="18" t="str">
        <x:v>TXT</x:v>
      </x:c>
      <x:c r="D21" s="18" t="str">
        <x:v>دستور توقف v4.1 و استفاده از v4.2</x:v>
      </x:c>
      <x:c r="E21" s="18" t="str">
        <x:v>هنگام تحویل جایگزین</x:v>
      </x:c>
      <x:c r="F21" s="18" t="str">
        <x:v>اجباری</x:v>
      </x:c>
      <x:c r="G21" s="18" t="str">
        <x:v>یادداشت جایگزینی v4.1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2" hidden="0" customWidth="1"/>
    <x:col min="3" max="3" width="34" hidden="0" customWidth="1"/>
    <x:col min="4" max="4" width="52" hidden="0" customWidth="1"/>
    <x:col min="5" max="5" width="32" hidden="0" customWidth="1"/>
    <x:col min="6" max="6" width="42" hidden="0" customWidth="1"/>
    <x:col min="7" max="7" width="22" hidden="0" customWidth="1"/>
    <x:col min="8" max="8" width="22" hidden="0" customWidth="1"/>
  </x:cols>
  <x:sheetData>
    <x:row r="1">
      <x:c r="A1" s="23" t="str">
        <x:v>فاز</x:v>
      </x:c>
      <x:c r="B1" s="23" t="str">
        <x:v>عنوان</x:v>
      </x:c>
      <x:c r="C1" s="23" t="str">
        <x:v>ورودی</x:v>
      </x:c>
      <x:c r="D1" s="23" t="str">
        <x:v>فعالیت عباس</x:v>
      </x:c>
      <x:c r="E1" s="23" t="str">
        <x:v>خروجی</x:v>
      </x:c>
      <x:c r="F1" s="23" t="str">
        <x:v>گیت پذیرش</x:v>
      </x:c>
      <x:c r="G1" s="23" t="str">
        <x:v>فعال‌سازی Production</x:v>
      </x:c>
      <x:c r="H1" s="23" t="str">
        <x:v>مالک تأیید</x:v>
      </x:c>
    </x:row>
    <x:row r="2">
      <x:c r="A2" s="18" t="n">
        <x:v>0</x:v>
      </x:c>
      <x:c r="B2" s="18" t="str">
        <x:v>Preflight</x:v>
      </x:c>
      <x:c r="C2" s="18" t="str">
        <x:v>بسته abs و دسترسی‌ها</x:v>
      </x:c>
      <x:c r="D2" s="18" t="str">
        <x:v>Staging، Git، Backup، Snapshot و گزارش محیط</x:v>
      </x:c>
      <x:c r="E2" s="18" t="str">
        <x:v>گزارش Preflight</x:v>
      </x:c>
      <x:c r="F2" s="18" t="str">
        <x:v>Backup/restore و Git branch پاس</x:v>
      </x:c>
      <x:c r="G2" s="18" t="str">
        <x:v>خیر</x:v>
      </x:c>
      <x:c r="H2" s="18" t="str">
        <x:v>مالک + عباس</x:v>
      </x:c>
    </x:row>
    <x:row r="3">
      <x:c r="A3" s="18" t="n">
        <x:v>1</x:v>
      </x:c>
      <x:c r="B3" s="18" t="str">
        <x:v>زیرساخت فنی + ورود موبایل</x:v>
      </x:c>
      <x:c r="C3" s="18" t="str">
        <x:v>Contract v4 + OTP Contract</x:v>
      </x:c>
      <x:c r="D3" s="18" t="str">
        <x:v>Core/CMS/API/Commerce/Mobile OTP/Basic Account</x:v>
      </x:c>
      <x:c r="E3" s="18" t="str">
        <x:v>Foundation + Mobile Auth</x:v>
      </x:c>
      <x:c r="F3" s="18" t="str">
        <x:v>AF-01..17,21,22,25..29</x:v>
      </x:c>
      <x:c r="G3" s="18" t="str">
        <x:v>خیر</x:v>
      </x:c>
      <x:c r="H3" s="18" t="str">
        <x:v>مالک + QC</x:v>
      </x:c>
    </x:row>
    <x:row r="4">
      <x:c r="A4" s="18" t="n">
        <x:v>2</x:v>
      </x:c>
      <x:c r="B4" s="18" t="str">
        <x:v>هوم</x:v>
      </x:c>
      <x:c r="C4" s="18" t="str">
        <x:v>Home Master v3 و Component Map</x:v>
      </x:c>
      <x:c r="D4" s="18" t="str">
        <x:v>تبدیل به Template/Blocks و اتصال داده داینامیک</x:v>
      </x:c>
      <x:c r="E4" s="18" t="str">
        <x:v>هوم Responsive روی Staging</x:v>
      </x:c>
      <x:c r="F4" s="18" t="str">
        <x:v>Desktop/Tablet/Mobile و Content QA پاس</x:v>
      </x:c>
      <x:c r="G4" s="18" t="str">
        <x:v>پس از گیت محتوا</x:v>
      </x:c>
      <x:c r="H4" s="18" t="str">
        <x:v>مالک</x:v>
      </x:c>
    </x:row>
    <x:row r="5">
      <x:c r="A5" s="18" t="n">
        <x:v>3</x:v>
      </x:c>
      <x:c r="B5" s="18" t="str">
        <x:v>سایر صفحات</x:v>
      </x:c>
      <x:c r="C5" s="18" t="str">
        <x:v>Architecture Model و Registry</x:v>
      </x:c>
      <x:c r="D5" s="18" t="str">
        <x:v>ساخت قالب‌ها و صفحات اولویت‌دار</x:v>
      </x:c>
      <x:c r="E5" s="18" t="str">
        <x:v>سایت کامل غیر اجاره</x:v>
      </x:c>
      <x:c r="F5" s="18" t="str">
        <x:v>Page templates و Internal links پاس</x:v>
      </x:c>
      <x:c r="G5" s="18" t="str">
        <x:v>مرحله‌ای</x:v>
      </x:c>
      <x:c r="H5" s="18" t="str">
        <x:v>مالک</x:v>
      </x:c>
    </x:row>
    <x:row r="6">
      <x:c r="A6" s="18" t="n">
        <x:v>4</x:v>
      </x:c>
      <x:c r="B6" s="18" t="str">
        <x:v>ماژول اجاره رسانه</x:v>
      </x:c>
      <x:c r="C6" s="18" t="str">
        <x:v>Rental Contract v4</x:v>
      </x:c>
      <x:c r="D6" s="18" t="str">
        <x:v>افزونه مستقل و آینده</x:v>
      </x:c>
      <x:c r="E6" s="18" t="str">
        <x:v>Future rental module</x:v>
      </x:c>
      <x:c r="F6" s="18" t="str">
        <x:v>بعد از رونمایی و پروژه مستقل</x:v>
      </x:c>
      <x:c r="G6" s="18" t="str">
        <x:v>پس از Pilot</x:v>
      </x:c>
      <x:c r="H6" s="18" t="str">
        <x:v>مالک + مالی + عملیات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45" hidden="0" customWidth="1"/>
    <x:col min="4" max="4" width="22" hidden="0" customWidth="1"/>
    <x:col min="5" max="5" width="28" hidden="0" customWidth="1"/>
    <x:col min="6" max="6" width="24" hidden="0" customWidth="1"/>
    <x:col min="7" max="7" width="34" hidden="0" customWidth="1"/>
    <x:col min="8" max="8" width="28" hidden="0" customWidth="1"/>
    <x:col min="9" max="9" width="52" hidden="0" customWidth="1"/>
  </x:cols>
  <x:sheetData>
    <x:row r="1">
      <x:c r="A1" s="23" t="str">
        <x:v>ID</x:v>
      </x:c>
      <x:c r="B1" s="23" t="str">
        <x:v>عنوان</x:v>
      </x:c>
      <x:c r="C1" s="23" t="str">
        <x:v>URL منطقی</x:v>
      </x:c>
      <x:c r="D1" s="23" t="str">
        <x:v>نوع صفحه</x:v>
      </x:c>
      <x:c r="E1" s="23" t="str">
        <x:v>والد</x:v>
      </x:c>
      <x:c r="F1" s="23" t="str">
        <x:v>فاز</x:v>
      </x:c>
      <x:c r="G1" s="23" t="str">
        <x:v>Index</x:v>
      </x:c>
      <x:c r="H1" s="23" t="str">
        <x:v>Template</x:v>
      </x:c>
      <x:c r="I1" s="23" t="str">
        <x:v>وضعیت URL</x:v>
      </x:c>
    </x:row>
    <x:row r="2">
      <x:c r="A2" s="18" t="str">
        <x:v>P-001</x:v>
      </x:c>
      <x:c r="B2" s="18" t="str">
        <x:v>خانه</x:v>
      </x:c>
      <x:c r="C2" s="18" t="str">
        <x:v>/</x:v>
      </x:c>
      <x:c r="D2" s="18" t="str">
        <x:v>Home</x:v>
      </x:c>
      <x:c r="E2" s="18" t="str">
        <x:v>—</x:v>
      </x:c>
      <x:c r="F2" s="18" t="str">
        <x:v>فاز ۱</x:v>
      </x:c>
      <x:c r="G2" s="18" t="str">
        <x:v>Index</x:v>
      </x:c>
      <x:c r="H2" s="18" t="str">
        <x:v>Homepage</x:v>
      </x:c>
      <x:c r="I2" s="18" t="str">
        <x:v>مسیر منطقی قفل برای پیاده‌سازی؛ تغییر Production فقط با Redirect Map مصوب</x:v>
      </x:c>
    </x:row>
    <x:row r="3">
      <x:c r="A3" s="18" t="str">
        <x:v>P-002</x:v>
      </x:c>
      <x:c r="B3" s="18" t="str">
        <x:v>خدمات</x:v>
      </x:c>
      <x:c r="C3" s="18" t="str">
        <x:v>/services/</x:v>
      </x:c>
      <x:c r="D3" s="18" t="str">
        <x:v>Hub</x:v>
      </x:c>
      <x:c r="E3" s="18" t="str">
        <x:v>خانه</x:v>
      </x:c>
      <x:c r="F3" s="18" t="str">
        <x:v>فاز ۱</x:v>
      </x:c>
      <x:c r="G3" s="18" t="str">
        <x:v>Index</x:v>
      </x:c>
      <x:c r="H3" s="18" t="str">
        <x:v>Services Hub</x:v>
      </x:c>
      <x:c r="I3" s="18" t="str">
        <x:v>مسیر منطقی قفل برای پیاده‌سازی؛ تغییر Production فقط با Redirect Map مصوب</x:v>
      </x:c>
    </x:row>
    <x:row r="4">
      <x:c r="A4" s="18" t="str">
        <x:v>P-003</x:v>
      </x:c>
      <x:c r="B4" s="18" t="str">
        <x:v>محصولات</x:v>
      </x:c>
      <x:c r="C4" s="18" t="str">
        <x:v>/products/</x:v>
      </x:c>
      <x:c r="D4" s="18" t="str">
        <x:v>Hub</x:v>
      </x:c>
      <x:c r="E4" s="18" t="str">
        <x:v>خانه</x:v>
      </x:c>
      <x:c r="F4" s="18" t="str">
        <x:v>فاز ۱</x:v>
      </x:c>
      <x:c r="G4" s="18" t="str">
        <x:v>Index</x:v>
      </x:c>
      <x:c r="H4" s="18" t="str">
        <x:v>Products Hub</x:v>
      </x:c>
      <x:c r="I4" s="18" t="str">
        <x:v>مسیر منطقی قفل برای پیاده‌سازی؛ تغییر Production فقط با Redirect Map مصوب</x:v>
      </x:c>
    </x:row>
    <x:row r="5">
      <x:c r="A5" s="18" t="str">
        <x:v>P-004</x:v>
      </x:c>
      <x:c r="B5" s="18" t="str">
        <x:v>راهکارها</x:v>
      </x:c>
      <x:c r="C5" s="18" t="str">
        <x:v>/solutions/</x:v>
      </x:c>
      <x:c r="D5" s="18" t="str">
        <x:v>Hub</x:v>
      </x:c>
      <x:c r="E5" s="18" t="str">
        <x:v>خانه</x:v>
      </x:c>
      <x:c r="F5" s="18" t="str">
        <x:v>فاز ۱</x:v>
      </x:c>
      <x:c r="G5" s="18" t="str">
        <x:v>Index</x:v>
      </x:c>
      <x:c r="H5" s="18" t="str">
        <x:v>Solutions Hub</x:v>
      </x:c>
      <x:c r="I5" s="18" t="str">
        <x:v>مسیر منطقی قفل برای پیاده‌سازی؛ تغییر Production فقط با Redirect Map مصوب</x:v>
      </x:c>
    </x:row>
    <x:row r="6">
      <x:c r="A6" s="18" t="str">
        <x:v>P-005</x:v>
      </x:c>
      <x:c r="B6" s="18" t="str">
        <x:v>پورتفولیو</x:v>
      </x:c>
      <x:c r="C6" s="18" t="str">
        <x:v>/portfolio/</x:v>
      </x:c>
      <x:c r="D6" s="18" t="str">
        <x:v>Hub</x:v>
      </x:c>
      <x:c r="E6" s="18" t="str">
        <x:v>خانه</x:v>
      </x:c>
      <x:c r="F6" s="18" t="str">
        <x:v>فاز ۱</x:v>
      </x:c>
      <x:c r="G6" s="18" t="str">
        <x:v>Index</x:v>
      </x:c>
      <x:c r="H6" s="18" t="str">
        <x:v>Portfolio Archive</x:v>
      </x:c>
      <x:c r="I6" s="18" t="str">
        <x:v>مسیر منطقی قفل برای پیاده‌سازی؛ تغییر Production فقط با Redirect Map مصوب</x:v>
      </x:c>
    </x:row>
    <x:row r="7">
      <x:c r="A7" s="18" t="str">
        <x:v>P-006</x:v>
      </x:c>
      <x:c r="B7" s="18" t="str">
        <x:v>پروژه‌ها</x:v>
      </x:c>
      <x:c r="C7" s="18" t="str">
        <x:v>/projects/</x:v>
      </x:c>
      <x:c r="D7" s="18" t="str">
        <x:v>Hub</x:v>
      </x:c>
      <x:c r="E7" s="18" t="str">
        <x:v>خانه</x:v>
      </x:c>
      <x:c r="F7" s="18" t="str">
        <x:v>فاز ۱</x:v>
      </x:c>
      <x:c r="G7" s="18" t="str">
        <x:v>Index</x:v>
      </x:c>
      <x:c r="H7" s="18" t="str">
        <x:v>Projects Archive</x:v>
      </x:c>
      <x:c r="I7" s="18" t="str">
        <x:v>مسیر منطقی قفل برای پیاده‌سازی؛ تغییر Production فقط با Redirect Map مصوب</x:v>
      </x:c>
    </x:row>
    <x:row r="8">
      <x:c r="A8" s="18" t="str">
        <x:v>P-007</x:v>
      </x:c>
      <x:c r="B8" s="18" t="str">
        <x:v>توانمندی‌ها</x:v>
      </x:c>
      <x:c r="C8" s="18" t="str">
        <x:v>/capabilities/</x:v>
      </x:c>
      <x:c r="D8" s="18" t="str">
        <x:v>Hub</x:v>
      </x:c>
      <x:c r="E8" s="18" t="str">
        <x:v>خانه</x:v>
      </x:c>
      <x:c r="F8" s="18" t="str">
        <x:v>فاز ۱</x:v>
      </x:c>
      <x:c r="G8" s="18" t="str">
        <x:v>Index after evidence</x:v>
      </x:c>
      <x:c r="H8" s="18" t="str">
        <x:v>Capabilities Hub</x:v>
      </x:c>
      <x:c r="I8" s="18" t="str">
        <x:v>مسیر منطقی قفل برای پیاده‌سازی؛ تغییر Production فقط با Redirect Map مصوب</x:v>
      </x:c>
    </x:row>
    <x:row r="9">
      <x:c r="A9" s="18" t="str">
        <x:v>P-008</x:v>
      </x:c>
      <x:c r="B9" s="18" t="str">
        <x:v>واحدها و زیرساخت‌ها</x:v>
      </x:c>
      <x:c r="C9" s="18" t="str">
        <x:v>/facilities/</x:v>
      </x:c>
      <x:c r="D9" s="18" t="str">
        <x:v>Hub</x:v>
      </x:c>
      <x:c r="E9" s="18" t="str">
        <x:v>خانه</x:v>
      </x:c>
      <x:c r="F9" s="18" t="str">
        <x:v>فاز ۱</x:v>
      </x:c>
      <x:c r="G9" s="18" t="str">
        <x:v>Index after ownership/evidence</x:v>
      </x:c>
      <x:c r="H9" s="18" t="str">
        <x:v>Facilities Hub</x:v>
      </x:c>
      <x:c r="I9" s="18" t="str">
        <x:v>مسیر منطقی قفل برای پیاده‌سازی؛ تغییر Production فقط با Redirect Map مصوب</x:v>
      </x:c>
    </x:row>
    <x:row r="10">
      <x:c r="A10" s="18" t="str">
        <x:v>P-009</x:v>
      </x:c>
      <x:c r="B10" s="18" t="str">
        <x:v>دانش و مجله</x:v>
      </x:c>
      <x:c r="C10" s="18" t="str">
        <x:v>/blog/</x:v>
      </x:c>
      <x:c r="D10" s="18" t="str">
        <x:v>Hub</x:v>
      </x:c>
      <x:c r="E10" s="18" t="str">
        <x:v>خانه</x:v>
      </x:c>
      <x:c r="F10" s="18" t="str">
        <x:v>فاز ۱</x:v>
      </x:c>
      <x:c r="G10" s="18" t="str">
        <x:v>Index</x:v>
      </x:c>
      <x:c r="H10" s="18" t="str">
        <x:v>Blog Hub</x:v>
      </x:c>
      <x:c r="I10" s="18" t="str">
        <x:v>مسیر منطقی قفل برای پیاده‌سازی؛ تغییر Production فقط با Redirect Map مصوب</x:v>
      </x:c>
    </x:row>
    <x:row r="11">
      <x:c r="A11" s="18" t="str">
        <x:v>P-010</x:v>
      </x:c>
      <x:c r="B11" s="18" t="str">
        <x:v>درباره ما</x:v>
      </x:c>
      <x:c r="C11" s="18" t="str">
        <x:v>/about-us/</x:v>
      </x:c>
      <x:c r="D11" s="18" t="str">
        <x:v>Trust</x:v>
      </x:c>
      <x:c r="E11" s="18" t="str">
        <x:v>خانه</x:v>
      </x:c>
      <x:c r="F11" s="18" t="str">
        <x:v>فاز ۱</x:v>
      </x:c>
      <x:c r="G11" s="18" t="str">
        <x:v>Index</x:v>
      </x:c>
      <x:c r="H11" s="18" t="str">
        <x:v>About</x:v>
      </x:c>
      <x:c r="I11" s="18" t="str">
        <x:v>مسیر منطقی قفل برای پیاده‌سازی؛ تغییر Production فقط با Redirect Map مصوب</x:v>
      </x:c>
    </x:row>
    <x:row r="12">
      <x:c r="A12" s="18" t="str">
        <x:v>P-011</x:v>
      </x:c>
      <x:c r="B12" s="18" t="str">
        <x:v>تماس با ما</x:v>
      </x:c>
      <x:c r="C12" s="18" t="str">
        <x:v>/contact-us/</x:v>
      </x:c>
      <x:c r="D12" s="18" t="str">
        <x:v>Trust</x:v>
      </x:c>
      <x:c r="E12" s="18" t="str">
        <x:v>خانه</x:v>
      </x:c>
      <x:c r="F12" s="18" t="str">
        <x:v>فاز ۱</x:v>
      </x:c>
      <x:c r="G12" s="18" t="str">
        <x:v>Index</x:v>
      </x:c>
      <x:c r="H12" s="18" t="str">
        <x:v>Contact</x:v>
      </x:c>
      <x:c r="I12" s="18" t="str">
        <x:v>مسیر منطقی قفل برای پیاده‌سازی؛ تغییر Production فقط با Redirect Map مصوب</x:v>
      </x:c>
    </x:row>
    <x:row r="13">
      <x:c r="A13" s="18" t="str">
        <x:v>P-012</x:v>
      </x:c>
      <x:c r="B13" s="18" t="str">
        <x:v>تبلیغات محیطی و رسانه</x:v>
      </x:c>
      <x:c r="C13" s="18" t="str">
        <x:v>/services/outdoor-advertising/</x:v>
      </x:c>
      <x:c r="D13" s="18" t="str">
        <x:v>ServiceHub</x:v>
      </x:c>
      <x:c r="E13" s="18" t="str">
        <x:v>خدمات</x:v>
      </x:c>
      <x:c r="F13" s="18" t="str">
        <x:v>فاز ۱</x:v>
      </x:c>
      <x:c r="G13" s="18" t="str">
        <x:v>Index</x:v>
      </x:c>
      <x:c r="H13" s="18" t="str">
        <x:v>Service Hub</x:v>
      </x:c>
      <x:c r="I13" s="18" t="str">
        <x:v>مسیر منطقی قفل برای پیاده‌سازی؛ تغییر Production فقط با Redirect Map مصوب</x:v>
      </x:c>
    </x:row>
    <x:row r="14">
      <x:c r="A14" s="18" t="str">
        <x:v>P-013</x:v>
      </x:c>
      <x:c r="B14" s="18" t="str">
        <x:v>طراحی و گرافیک</x:v>
      </x:c>
      <x:c r="C14" s="18" t="str">
        <x:v>/services/design-graphics/</x:v>
      </x:c>
      <x:c r="D14" s="18" t="str">
        <x:v>ServiceHub</x:v>
      </x:c>
      <x:c r="E14" s="18" t="str">
        <x:v>خدمات</x:v>
      </x:c>
      <x:c r="F14" s="18" t="str">
        <x:v>فاز ۱</x:v>
      </x:c>
      <x:c r="G14" s="18" t="str">
        <x:v>Index</x:v>
      </x:c>
      <x:c r="H14" s="18" t="str">
        <x:v>Service Hub</x:v>
      </x:c>
      <x:c r="I14" s="18" t="str">
        <x:v>مسیر منطقی قفل برای پیاده‌سازی؛ تغییر Production فقط با Redirect Map مصوب</x:v>
      </x:c>
    </x:row>
    <x:row r="15">
      <x:c r="A15" s="18" t="str">
        <x:v>P-014</x:v>
      </x:c>
      <x:c r="B15" s="18" t="str">
        <x:v>چاپ</x:v>
      </x:c>
      <x:c r="C15" s="18" t="str">
        <x:v>/services/printing/</x:v>
      </x:c>
      <x:c r="D15" s="18" t="str">
        <x:v>ServiceHub</x:v>
      </x:c>
      <x:c r="E15" s="18" t="str">
        <x:v>خدمات</x:v>
      </x:c>
      <x:c r="F15" s="18" t="str">
        <x:v>فاز ۱</x:v>
      </x:c>
      <x:c r="G15" s="18" t="str">
        <x:v>Index</x:v>
      </x:c>
      <x:c r="H15" s="18" t="str">
        <x:v>Service Hub</x:v>
      </x:c>
      <x:c r="I15" s="18" t="str">
        <x:v>مسیر منطقی قفل برای پیاده‌سازی؛ تغییر Production فقط با Redirect Map مصوب</x:v>
      </x:c>
    </x:row>
    <x:row r="16">
      <x:c r="A16" s="18" t="str">
        <x:v>P-015</x:v>
      </x:c>
      <x:c r="B16" s="18" t="str">
        <x:v>دیجیتال مارکتینگ</x:v>
      </x:c>
      <x:c r="C16" s="18" t="str">
        <x:v>/services/digital-marketing/</x:v>
      </x:c>
      <x:c r="D16" s="18" t="str">
        <x:v>ServiceHub</x:v>
      </x:c>
      <x:c r="E16" s="18" t="str">
        <x:v>خدمات</x:v>
      </x:c>
      <x:c r="F16" s="18" t="str">
        <x:v>فاز ۱ انتخابی</x:v>
      </x:c>
      <x:c r="G16" s="18" t="str">
        <x:v>Index</x:v>
      </x:c>
      <x:c r="H16" s="18" t="str">
        <x:v>Service Hub</x:v>
      </x:c>
      <x:c r="I16" s="18" t="str">
        <x:v>مسیر منطقی قفل برای پیاده‌سازی؛ تغییر Production فقط با Redirect Map مصوب</x:v>
      </x:c>
    </x:row>
    <x:row r="17">
      <x:c r="A17" s="18" t="str">
        <x:v>P-016</x:v>
      </x:c>
      <x:c r="B17" s="18" t="str">
        <x:v>استراتژی برند، فروش و توسعه کسب‌وکار</x:v>
      </x:c>
      <x:c r="C17" s="18" t="str">
        <x:v>/services/business-strategy/</x:v>
      </x:c>
      <x:c r="D17" s="18" t="str">
        <x:v>ServiceHub</x:v>
      </x:c>
      <x:c r="E17" s="18" t="str">
        <x:v>خدمات</x:v>
      </x:c>
      <x:c r="F17" s="18" t="str">
        <x:v>فاز ۲ / حضور محدود</x:v>
      </x:c>
      <x:c r="G17" s="18" t="str">
        <x:v>Index</x:v>
      </x:c>
      <x:c r="H17" s="18" t="str">
        <x:v>Service Hub</x:v>
      </x:c>
      <x:c r="I17" s="18" t="str">
        <x:v>مسیر منطقی قفل برای پیاده‌سازی؛ تغییر Production فقط با Redirect Map مصوب</x:v>
      </x:c>
    </x:row>
    <x:row r="18">
      <x:c r="A18" s="18" t="str">
        <x:v>P-017</x:v>
      </x:c>
      <x:c r="B18" s="18" t="str">
        <x:v>فیلمبرداری و عکاسی صنعتی</x:v>
      </x:c>
      <x:c r="C18" s="18" t="str">
        <x:v>/services/industrial-photo-video/</x:v>
      </x:c>
      <x:c r="D18" s="18" t="str">
        <x:v>ServiceHub</x:v>
      </x:c>
      <x:c r="E18" s="18" t="str">
        <x:v>خدمات</x:v>
      </x:c>
      <x:c r="F18" s="18" t="str">
        <x:v>فاز ۱ انتخابی</x:v>
      </x:c>
      <x:c r="G18" s="18" t="str">
        <x:v>Index</x:v>
      </x:c>
      <x:c r="H18" s="18" t="str">
        <x:v>Service Hub</x:v>
      </x:c>
      <x:c r="I18" s="18" t="str">
        <x:v>مسیر منطقی قفل برای پیاده‌سازی؛ تغییر Production فقط با Redirect Map مصوب</x:v>
      </x:c>
    </x:row>
    <x:row r="19">
      <x:c r="A19" s="18" t="str">
        <x:v>P-018</x:v>
      </x:c>
      <x:c r="B19" s="18" t="str">
        <x:v>اجاره رسانه و اکران</x:v>
      </x:c>
      <x:c r="C19" s="18" t="str">
        <x:v>/media-rental/</x:v>
      </x:c>
      <x:c r="D19" s="18" t="str">
        <x:v>RentalHub</x:v>
      </x:c>
      <x:c r="E19" s="18" t="str">
        <x:v>تبلیغات محیطی و رسانه</x:v>
      </x:c>
      <x:c r="F19" s="18" t="str">
        <x:v>فاز ۴ - غیرفعال تا راه‌اندازی</x:v>
      </x:c>
      <x:c r="G19" s="18" t="str">
        <x:v>Noindex و خارج از XML Sitemap تا فعال‌سازی</x:v>
      </x:c>
      <x:c r="H19" s="18" t="str">
        <x:v>Rental Hub Mount</x:v>
      </x:c>
      <x:c r="I19" s="18" t="str">
        <x:v>مسیر منطقی قفل برای پیاده‌سازی؛ تغییر Production فقط با Redirect Map مصوب</x:v>
      </x:c>
    </x:row>
    <x:row r="20">
      <x:c r="A20" s="18" t="str">
        <x:v>P-019</x:v>
      </x:c>
      <x:c r="B20" s="18" t="str">
        <x:v>مشارکت، سرمایه‌گذاری و بهره‌برداری</x:v>
      </x:c>
      <x:c r="C20" s="18" t="str">
        <x:v>/services/urban-investment/</x:v>
      </x:c>
      <x:c r="D20" s="18" t="str">
        <x:v>ServiceCategory</x:v>
      </x:c>
      <x:c r="E20" s="18" t="str">
        <x:v>تبلیغات محیطی و رسانه</x:v>
      </x:c>
      <x:c r="F20" s="18" t="str">
        <x:v>فاز ۱</x:v>
      </x:c>
      <x:c r="G20" s="18" t="str">
        <x:v>Index</x:v>
      </x:c>
      <x:c r="H20" s="18" t="str">
        <x:v>Service Category</x:v>
      </x:c>
      <x:c r="I20" s="18" t="str">
        <x:v>مسیر منطقی قفل برای پیاده‌سازی؛ تغییر Production فقط با Redirect Map مصوب</x:v>
      </x:c>
    </x:row>
    <x:row r="21">
      <x:c r="A21" s="18" t="str">
        <x:v>P-020</x:v>
      </x:c>
      <x:c r="B21" s="18" t="str">
        <x:v>طراحی محیطی و نمایشگاهی</x:v>
      </x:c>
      <x:c r="C21" s="18" t="str">
        <x:v>/services/environmental-exhibition-design/</x:v>
      </x:c>
      <x:c r="D21" s="18" t="str">
        <x:v>ServiceCategory</x:v>
      </x:c>
      <x:c r="E21" s="18" t="str">
        <x:v>طراحی و گرافیک</x:v>
      </x:c>
      <x:c r="F21" s="18" t="str">
        <x:v>فاز ۱</x:v>
      </x:c>
      <x:c r="G21" s="18" t="str">
        <x:v>Index</x:v>
      </x:c>
      <x:c r="H21" s="18" t="str">
        <x:v>Service Category</x:v>
      </x:c>
      <x:c r="I21" s="18" t="str">
        <x:v>مسیر منطقی قفل برای پیاده‌سازی؛ تغییر Production فقط با Redirect Map مصوب</x:v>
      </x:c>
    </x:row>
    <x:row r="22">
      <x:c r="A22" s="18" t="str">
        <x:v>P-021</x:v>
      </x:c>
      <x:c r="B22" s="18" t="str">
        <x:v>هویت بصری برند و اقلام تبلیغاتی کسب‌وکارها</x:v>
      </x:c>
      <x:c r="C22" s="18" t="str">
        <x:v>/services/visual-identity/</x:v>
      </x:c>
      <x:c r="D22" s="18" t="str">
        <x:v>ServiceCategory</x:v>
      </x:c>
      <x:c r="E22" s="18" t="str">
        <x:v>طراحی و گرافیک</x:v>
      </x:c>
      <x:c r="F22" s="18" t="str">
        <x:v>فاز ۱</x:v>
      </x:c>
      <x:c r="G22" s="18" t="str">
        <x:v>Index</x:v>
      </x:c>
      <x:c r="H22" s="18" t="str">
        <x:v>Service Category</x:v>
      </x:c>
      <x:c r="I22" s="18" t="str">
        <x:v>مسیر منطقی قفل برای پیاده‌سازی؛ تغییر Production فقط با Redirect Map مصوب</x:v>
      </x:c>
    </x:row>
    <x:row r="23">
      <x:c r="A23" s="18" t="str">
        <x:v>P-022</x:v>
      </x:c>
      <x:c r="B23" s="18" t="str">
        <x:v>طراحی بسته‌بندی و لیبل</x:v>
      </x:c>
      <x:c r="C23" s="18" t="str">
        <x:v>/services/packaging-label-design/</x:v>
      </x:c>
      <x:c r="D23" s="18" t="str">
        <x:v>ServiceCategory</x:v>
      </x:c>
      <x:c r="E23" s="18" t="str">
        <x:v>طراحی و گرافیک</x:v>
      </x:c>
      <x:c r="F23" s="18" t="str">
        <x:v>فاز ۱</x:v>
      </x:c>
      <x:c r="G23" s="18" t="str">
        <x:v>Index</x:v>
      </x:c>
      <x:c r="H23" s="18" t="str">
        <x:v>Service Category</x:v>
      </x:c>
      <x:c r="I23" s="18" t="str">
        <x:v>مسیر منطقی قفل برای پیاده‌سازی؛ تغییر Production فقط با Redirect Map مصوب</x:v>
      </x:c>
    </x:row>
    <x:row r="24">
      <x:c r="A24" s="18" t="str">
        <x:v>P-023</x:v>
      </x:c>
      <x:c r="B24" s="18" t="str">
        <x:v>طراحی گرافیک وب‌سایت و شبکه‌های اجتماعی</x:v>
      </x:c>
      <x:c r="C24" s="18" t="str">
        <x:v>/services/digital-graphic-design/</x:v>
      </x:c>
      <x:c r="D24" s="18" t="str">
        <x:v>ServiceCategory</x:v>
      </x:c>
      <x:c r="E24" s="18" t="str">
        <x:v>طراحی و گرافیک</x:v>
      </x:c>
      <x:c r="F24" s="18" t="str">
        <x:v>فاز ۱</x:v>
      </x:c>
      <x:c r="G24" s="18" t="str">
        <x:v>Index</x:v>
      </x:c>
      <x:c r="H24" s="18" t="str">
        <x:v>Service Category</x:v>
      </x:c>
      <x:c r="I24" s="18" t="str">
        <x:v>مسیر منطقی قفل برای پیاده‌سازی؛ تغییر Production فقط با Redirect Map مصوب</x:v>
      </x:c>
    </x:row>
    <x:row r="25">
      <x:c r="A25" s="18" t="str">
        <x:v>P-024</x:v>
      </x:c>
      <x:c r="B25" s="18" t="str">
        <x:v>چاپ لارج‌فرمت</x:v>
      </x:c>
      <x:c r="C25" s="18" t="str">
        <x:v>/printing/large-format/</x:v>
      </x:c>
      <x:c r="D25" s="18" t="str">
        <x:v>ServiceCategory</x:v>
      </x:c>
      <x:c r="E25" s="18" t="str">
        <x:v>چاپ</x:v>
      </x:c>
      <x:c r="F25" s="18" t="str">
        <x:v>فاز ۱</x:v>
      </x:c>
      <x:c r="G25" s="18" t="str">
        <x:v>Index</x:v>
      </x:c>
      <x:c r="H25" s="18" t="str">
        <x:v>Service Category</x:v>
      </x:c>
      <x:c r="I25" s="18" t="str">
        <x:v>مسیر منطقی قفل برای پیاده‌سازی؛ تغییر Production فقط با Redirect Map مصوب</x:v>
      </x:c>
    </x:row>
    <x:row r="26">
      <x:c r="A26" s="18" t="str">
        <x:v>P-025</x:v>
      </x:c>
      <x:c r="B26" s="18" t="str">
        <x:v>چاپ افست</x:v>
      </x:c>
      <x:c r="C26" s="18" t="str">
        <x:v>/printing/offset/</x:v>
      </x:c>
      <x:c r="D26" s="18" t="str">
        <x:v>ServiceCategory</x:v>
      </x:c>
      <x:c r="E26" s="18" t="str">
        <x:v>چاپ</x:v>
      </x:c>
      <x:c r="F26" s="18" t="str">
        <x:v>فاز ۱</x:v>
      </x:c>
      <x:c r="G26" s="18" t="str">
        <x:v>Index</x:v>
      </x:c>
      <x:c r="H26" s="18" t="str">
        <x:v>Service Category</x:v>
      </x:c>
      <x:c r="I26" s="18" t="str">
        <x:v>مسیر منطقی قفل برای پیاده‌سازی؛ تغییر Production فقط با Redirect Map مصوب</x:v>
      </x:c>
    </x:row>
    <x:row r="27">
      <x:c r="A27" s="18" t="str">
        <x:v>P-026</x:v>
      </x:c>
      <x:c r="B27" s="18" t="str">
        <x:v>خدمات وب‌سایت</x:v>
      </x:c>
      <x:c r="C27" s="18" t="str">
        <x:v>/services/web-design/</x:v>
      </x:c>
      <x:c r="D27" s="18" t="str">
        <x:v>ServiceCategory</x:v>
      </x:c>
      <x:c r="E27" s="18" t="str">
        <x:v>دیجیتال مارکتینگ</x:v>
      </x:c>
      <x:c r="F27" s="18" t="str">
        <x:v>فاز ۱</x:v>
      </x:c>
      <x:c r="G27" s="18" t="str">
        <x:v>Index</x:v>
      </x:c>
      <x:c r="H27" s="18" t="str">
        <x:v>Service Category</x:v>
      </x:c>
      <x:c r="I27" s="18" t="str">
        <x:v>مسیر منطقی قفل برای پیاده‌سازی؛ تغییر Production فقط با Redirect Map مصوب</x:v>
      </x:c>
    </x:row>
    <x:row r="28">
      <x:c r="A28" s="18" t="str">
        <x:v>P-027</x:v>
      </x:c>
      <x:c r="B28" s="18" t="str">
        <x:v>سئو، تحلیل و بهبود تبدیل</x:v>
      </x:c>
      <x:c r="C28" s="18" t="str">
        <x:v>/services/seo-analytics/</x:v>
      </x:c>
      <x:c r="D28" s="18" t="str">
        <x:v>ServiceCategory</x:v>
      </x:c>
      <x:c r="E28" s="18" t="str">
        <x:v>دیجیتال مارکتینگ</x:v>
      </x:c>
      <x:c r="F28" s="18" t="str">
        <x:v>فاز ۲ / حضور محدود</x:v>
      </x:c>
      <x:c r="G28" s="18" t="str">
        <x:v>Index</x:v>
      </x:c>
      <x:c r="H28" s="18" t="str">
        <x:v>Service Category</x:v>
      </x:c>
      <x:c r="I28" s="18" t="str">
        <x:v>مسیر منطقی قفل برای پیاده‌سازی؛ تغییر Production فقط با Redirect Map مصوب</x:v>
      </x:c>
    </x:row>
    <x:row r="29">
      <x:c r="A29" s="18" t="str">
        <x:v>P-028</x:v>
      </x:c>
      <x:c r="B29" s="18" t="str">
        <x:v>مدیریت و تولید محتوای شبکه‌های اجتماعی</x:v>
      </x:c>
      <x:c r="C29" s="18" t="str">
        <x:v>/services/social-media/</x:v>
      </x:c>
      <x:c r="D29" s="18" t="str">
        <x:v>ServiceCategory</x:v>
      </x:c>
      <x:c r="E29" s="18" t="str">
        <x:v>دیجیتال مارکتینگ</x:v>
      </x:c>
      <x:c r="F29" s="18" t="str">
        <x:v>فاز ۱</x:v>
      </x:c>
      <x:c r="G29" s="18" t="str">
        <x:v>Index</x:v>
      </x:c>
      <x:c r="H29" s="18" t="str">
        <x:v>Service Category</x:v>
      </x:c>
      <x:c r="I29" s="18" t="str">
        <x:v>مسیر منطقی قفل برای پیاده‌سازی؛ تغییر Production فقط با Redirect Map مصوب</x:v>
      </x:c>
    </x:row>
    <x:row r="30">
      <x:c r="A30" s="18" t="str">
        <x:v>P-029</x:v>
      </x:c>
      <x:c r="B30" s="18" t="str">
        <x:v>استراتژی پیام، تبلیغات و بازاریابی</x:v>
      </x:c>
      <x:c r="C30" s="18" t="str">
        <x:v>/services/strategy/marketing-message/</x:v>
      </x:c>
      <x:c r="D30" s="18" t="str">
        <x:v>ServiceCategory</x:v>
      </x:c>
      <x:c r="E30" s="18" t="str">
        <x:v>استراتژی برند، فروش و توسعه کسب‌وکار</x:v>
      </x:c>
      <x:c r="F30" s="18" t="str">
        <x:v>فاز ۲ / حضور محدود</x:v>
      </x:c>
      <x:c r="G30" s="18" t="str">
        <x:v>Index</x:v>
      </x:c>
      <x:c r="H30" s="18" t="str">
        <x:v>Service Category</x:v>
      </x:c>
      <x:c r="I30" s="18" t="str">
        <x:v>مسیر منطقی قفل برای پیاده‌سازی؛ تغییر Production فقط با Redirect Map مصوب</x:v>
      </x:c>
    </x:row>
    <x:row r="31">
      <x:c r="A31" s="18" t="str">
        <x:v>P-030</x:v>
      </x:c>
      <x:c r="B31" s="18" t="str">
        <x:v>استراتژی‌های کلان سازمان</x:v>
      </x:c>
      <x:c r="C31" s="18" t="str">
        <x:v>/services/strategy/organization/</x:v>
      </x:c>
      <x:c r="D31" s="18" t="str">
        <x:v>ServiceCategory</x:v>
      </x:c>
      <x:c r="E31" s="18" t="str">
        <x:v>استراتژی برند، فروش و توسعه کسب‌وکار</x:v>
      </x:c>
      <x:c r="F31" s="18" t="str">
        <x:v>فاز ۲ / حضور محدود</x:v>
      </x:c>
      <x:c r="G31" s="18" t="str">
        <x:v>Index</x:v>
      </x:c>
      <x:c r="H31" s="18" t="str">
        <x:v>Service Category</x:v>
      </x:c>
      <x:c r="I31" s="18" t="str">
        <x:v>مسیر منطقی قفل برای پیاده‌سازی؛ تغییر Production فقط با Redirect Map مصوب</x:v>
      </x:c>
    </x:row>
    <x:row r="32">
      <x:c r="A32" s="18" t="str">
        <x:v>P-031</x:v>
      </x:c>
      <x:c r="B32" s="18" t="str">
        <x:v>استراتژی برند، بازاریابی و فروش</x:v>
      </x:c>
      <x:c r="C32" s="18" t="str">
        <x:v>/services/strategy/brand-marketing-sales/</x:v>
      </x:c>
      <x:c r="D32" s="18" t="str">
        <x:v>ServiceCategory</x:v>
      </x:c>
      <x:c r="E32" s="18" t="str">
        <x:v>استراتژی برند، فروش و توسعه کسب‌وکار</x:v>
      </x:c>
      <x:c r="F32" s="18" t="str">
        <x:v>فاز ۲ / حضور محدود</x:v>
      </x:c>
      <x:c r="G32" s="18" t="str">
        <x:v>Index</x:v>
      </x:c>
      <x:c r="H32" s="18" t="str">
        <x:v>Service Category</x:v>
      </x:c>
      <x:c r="I32" s="18" t="str">
        <x:v>مسیر منطقی قفل برای پیاده‌سازی؛ تغییر Production فقط با Redirect Map مصوب</x:v>
      </x:c>
    </x:row>
    <x:row r="33">
      <x:c r="A33" s="18" t="str">
        <x:v>P-032</x:v>
      </x:c>
      <x:c r="B33" s="18" t="str">
        <x:v>سیستم‌سازی، مستندسازی و توسعه سازمان</x:v>
      </x:c>
      <x:c r="C33" s="18" t="str">
        <x:v>/services/strategy/systems-documentation/</x:v>
      </x:c>
      <x:c r="D33" s="18" t="str">
        <x:v>ServiceCategory</x:v>
      </x:c>
      <x:c r="E33" s="18" t="str">
        <x:v>استراتژی برند، فروش و توسعه کسب‌وکار</x:v>
      </x:c>
      <x:c r="F33" s="18" t="str">
        <x:v>فاز ۲ / حضور محدود</x:v>
      </x:c>
      <x:c r="G33" s="18" t="str">
        <x:v>Index</x:v>
      </x:c>
      <x:c r="H33" s="18" t="str">
        <x:v>Service Category</x:v>
      </x:c>
      <x:c r="I33" s="18" t="str">
        <x:v>مسیر منطقی قفل برای پیاده‌سازی؛ تغییر Production فقط با Redirect Map مصوب</x:v>
      </x:c>
    </x:row>
    <x:row r="34">
      <x:c r="A34" s="18" t="str">
        <x:v>P-033</x:v>
      </x:c>
      <x:c r="B34" s="18" t="str">
        <x:v>کلیپ و تیزر</x:v>
      </x:c>
      <x:c r="C34" s="18" t="str">
        <x:v>/services/industrial-video/</x:v>
      </x:c>
      <x:c r="D34" s="18" t="str">
        <x:v>ServiceCategory</x:v>
      </x:c>
      <x:c r="E34" s="18" t="str">
        <x:v>فیلمبرداری و عکاسی صنعتی</x:v>
      </x:c>
      <x:c r="F34" s="18" t="str">
        <x:v>فاز ۱</x:v>
      </x:c>
      <x:c r="G34" s="18" t="str">
        <x:v>Index</x:v>
      </x:c>
      <x:c r="H34" s="18" t="str">
        <x:v>Service Category</x:v>
      </x:c>
      <x:c r="I34" s="18" t="str">
        <x:v>مسیر منطقی قفل برای پیاده‌سازی؛ تغییر Production فقط با Redirect Map مصوب</x:v>
      </x:c>
    </x:row>
    <x:row r="35">
      <x:c r="A35" s="18" t="str">
        <x:v>P-034</x:v>
      </x:c>
      <x:c r="B35" s="18" t="str">
        <x:v>عکاسی صنعتی و محصول</x:v>
      </x:c>
      <x:c r="C35" s="18" t="str">
        <x:v>/services/industrial-photography/</x:v>
      </x:c>
      <x:c r="D35" s="18" t="str">
        <x:v>ServiceCategory</x:v>
      </x:c>
      <x:c r="E35" s="18" t="str">
        <x:v>فیلمبرداری و عکاسی صنعتی</x:v>
      </x:c>
      <x:c r="F35" s="18" t="str">
        <x:v>فاز ۱</x:v>
      </x:c>
      <x:c r="G35" s="18" t="str">
        <x:v>Index</x:v>
      </x:c>
      <x:c r="H35" s="18" t="str">
        <x:v>Service Category</x:v>
      </x:c>
      <x:c r="I35" s="18" t="str">
        <x:v>مسیر منطقی قفل برای پیاده‌سازی؛ تغییر Production فقط با Redirect Map مصوب</x:v>
      </x:c>
    </x:row>
    <x:row r="36">
      <x:c r="A36" s="18" t="str">
        <x:v>P-035</x:v>
      </x:c>
      <x:c r="B36" s="18" t="str">
        <x:v>تصویربرداری رویداد و هوایی</x:v>
      </x:c>
      <x:c r="C36" s="18" t="str">
        <x:v>/services/event-aerial-video/</x:v>
      </x:c>
      <x:c r="D36" s="18" t="str">
        <x:v>ServiceCategory</x:v>
      </x:c>
      <x:c r="E36" s="18" t="str">
        <x:v>فیلمبرداری و عکاسی صنعتی</x:v>
      </x:c>
      <x:c r="F36" s="18" t="str">
        <x:v>فاز ۱</x:v>
      </x:c>
      <x:c r="G36" s="18" t="str">
        <x:v>Index</x:v>
      </x:c>
      <x:c r="H36" s="18" t="str">
        <x:v>Service Category</x:v>
      </x:c>
      <x:c r="I36" s="18" t="str">
        <x:v>مسیر منطقی قفل برای پیاده‌سازی؛ تغییر Production فقط با Redirect Map مصوب</x:v>
      </x:c>
    </x:row>
    <x:row r="37">
      <x:c r="A37" s="18" t="str">
        <x:v>P-036</x:v>
      </x:c>
      <x:c r="B37" s="18" t="str">
        <x:v>سازه‌های Outdoor</x:v>
      </x:c>
      <x:c r="C37" s="18" t="str">
        <x:v>/products/outdoor-structures/</x:v>
      </x:c>
      <x:c r="D37" s="18" t="str">
        <x:v>ProductCategory</x:v>
      </x:c>
      <x:c r="E37" s="18" t="str">
        <x:v>محصولات</x:v>
      </x:c>
      <x:c r="F37" s="18" t="str">
        <x:v>فاز ۱</x:v>
      </x:c>
      <x:c r="G37" s="18" t="str">
        <x:v>Index</x:v>
      </x:c>
      <x:c r="H37" s="18" t="str">
        <x:v>Product Category</x:v>
      </x:c>
      <x:c r="I37" s="18" t="str">
        <x:v>مسیر منطقی قفل برای پیاده‌سازی؛ تغییر Production فقط با Redirect Map مصوب</x:v>
      </x:c>
    </x:row>
    <x:row r="38">
      <x:c r="A38" s="18" t="str">
        <x:v>P-037</x:v>
      </x:c>
      <x:c r="B38" s="18" t="str">
        <x:v>لایت‌باکس Indoor</x:v>
      </x:c>
      <x:c r="C38" s="18" t="str">
        <x:v>/products/indoor-lightboxes/</x:v>
      </x:c>
      <x:c r="D38" s="18" t="str">
        <x:v>ProductCategory</x:v>
      </x:c>
      <x:c r="E38" s="18" t="str">
        <x:v>محصولات</x:v>
      </x:c>
      <x:c r="F38" s="18" t="str">
        <x:v>فاز ۱</x:v>
      </x:c>
      <x:c r="G38" s="18" t="str">
        <x:v>Index</x:v>
      </x:c>
      <x:c r="H38" s="18" t="str">
        <x:v>Product Category</x:v>
      </x:c>
      <x:c r="I38" s="18" t="str">
        <x:v>مسیر منطقی قفل برای پیاده‌سازی؛ تغییر Production فقط با Redirect Map مصوب</x:v>
      </x:c>
    </x:row>
    <x:row r="39">
      <x:c r="A39" s="18" t="str">
        <x:v>P-038</x:v>
      </x:c>
      <x:c r="B39" s="18" t="str">
        <x:v>بیلبورد</x:v>
      </x:c>
      <x:c r="C39" s="18" t="str">
        <x:v>/products/outdoor-structures/billboards/</x:v>
      </x:c>
      <x:c r="D39" s="18" t="str">
        <x:v>ProductFamily</x:v>
      </x:c>
      <x:c r="E39" s="18" t="str">
        <x:v>سازه‌های Outdoor</x:v>
      </x:c>
      <x:c r="F39" s="18" t="str">
        <x:v>فاز ۱</x:v>
      </x:c>
      <x:c r="G39" s="18" t="str">
        <x:v>Index after product evidence</x:v>
      </x:c>
      <x:c r="H39" s="18" t="str">
        <x:v>Product Family</x:v>
      </x:c>
      <x:c r="I39" s="18" t="str">
        <x:v>مسیر منطقی قفل برای پیاده‌سازی؛ تغییر Production فقط با Redirect Map مصوب</x:v>
      </x:c>
    </x:row>
    <x:row r="40">
      <x:c r="A40" s="18" t="str">
        <x:v>P-039</x:v>
      </x:c>
      <x:c r="B40" s="18" t="str">
        <x:v>استرابورد</x:v>
      </x:c>
      <x:c r="C40" s="18" t="str">
        <x:v>/products/outdoor-structures/straboards/</x:v>
      </x:c>
      <x:c r="D40" s="18" t="str">
        <x:v>ProductFamily</x:v>
      </x:c>
      <x:c r="E40" s="18" t="str">
        <x:v>سازه‌های Outdoor</x:v>
      </x:c>
      <x:c r="F40" s="18" t="str">
        <x:v>فاز ۱</x:v>
      </x:c>
      <x:c r="G40" s="18" t="str">
        <x:v>Index after product evidence</x:v>
      </x:c>
      <x:c r="H40" s="18" t="str">
        <x:v>Product Family</x:v>
      </x:c>
      <x:c r="I40" s="18" t="str">
        <x:v>مسیر منطقی قفل برای پیاده‌سازی؛ تغییر Production فقط با Redirect Map مصوب</x:v>
      </x:c>
    </x:row>
    <x:row r="41">
      <x:c r="A41" s="18" t="str">
        <x:v>P-040</x:v>
      </x:c>
      <x:c r="B41" s="18" t="str">
        <x:v>برایت‌بورد</x:v>
      </x:c>
      <x:c r="C41" s="18" t="str">
        <x:v>/products/outdoor-structures/brightboards/</x:v>
      </x:c>
      <x:c r="D41" s="18" t="str">
        <x:v>ProductFamily</x:v>
      </x:c>
      <x:c r="E41" s="18" t="str">
        <x:v>سازه‌های Outdoor</x:v>
      </x:c>
      <x:c r="F41" s="18" t="str">
        <x:v>فاز ۱</x:v>
      </x:c>
      <x:c r="G41" s="18" t="str">
        <x:v>Index after product evidence</x:v>
      </x:c>
      <x:c r="H41" s="18" t="str">
        <x:v>Product Family</x:v>
      </x:c>
      <x:c r="I41" s="18" t="str">
        <x:v>مسیر منطقی قفل برای پیاده‌سازی؛ تغییر Production فقط با Redirect Map مصوب</x:v>
      </x:c>
    </x:row>
    <x:row r="42">
      <x:c r="A42" s="18" t="str">
        <x:v>P-041</x:v>
      </x:c>
      <x:c r="B42" s="18" t="str">
        <x:v>لایت‌باکس Outdoor</x:v>
      </x:c>
      <x:c r="C42" s="18" t="str">
        <x:v>/products/outdoor-structures/outdoor-lightboxes/</x:v>
      </x:c>
      <x:c r="D42" s="18" t="str">
        <x:v>ProductFamily</x:v>
      </x:c>
      <x:c r="E42" s="18" t="str">
        <x:v>سازه‌های Outdoor</x:v>
      </x:c>
      <x:c r="F42" s="18" t="str">
        <x:v>فاز ۱</x:v>
      </x:c>
      <x:c r="G42" s="18" t="str">
        <x:v>Index after product evidence</x:v>
      </x:c>
      <x:c r="H42" s="18" t="str">
        <x:v>Product Family</x:v>
      </x:c>
      <x:c r="I42" s="18" t="str">
        <x:v>مسیر منطقی قفل برای پیاده‌سازی؛ تغییر Production فقط با Redirect Map مصوب</x:v>
      </x:c>
    </x:row>
    <x:row r="43">
      <x:c r="A43" s="18" t="str">
        <x:v>P-042</x:v>
      </x:c>
      <x:c r="B43" s="18" t="str">
        <x:v>لایت‌برد</x:v>
      </x:c>
      <x:c r="C43" s="18" t="str">
        <x:v>/products/outdoor-structures/lightboards/</x:v>
      </x:c>
      <x:c r="D43" s="18" t="str">
        <x:v>ProductFamily</x:v>
      </x:c>
      <x:c r="E43" s="18" t="str">
        <x:v>سازه‌های Outdoor</x:v>
      </x:c>
      <x:c r="F43" s="18" t="str">
        <x:v>فاز ۱</x:v>
      </x:c>
      <x:c r="G43" s="18" t="str">
        <x:v>Index after product evidence</x:v>
      </x:c>
      <x:c r="H43" s="18" t="str">
        <x:v>Product Family</x:v>
      </x:c>
      <x:c r="I43" s="18" t="str">
        <x:v>مسیر منطقی قفل برای پیاده‌سازی؛ تغییر Production فقط با Redirect Map مصوب</x:v>
      </x:c>
    </x:row>
    <x:row r="44">
      <x:c r="A44" s="18" t="str">
        <x:v>P-043</x:v>
      </x:c>
      <x:c r="B44" s="18" t="str">
        <x:v>فلاوربورد</x:v>
      </x:c>
      <x:c r="C44" s="18" t="str">
        <x:v>/products/outdoor-structures/flowerboards/</x:v>
      </x:c>
      <x:c r="D44" s="18" t="str">
        <x:v>ProductFamily</x:v>
      </x:c>
      <x:c r="E44" s="18" t="str">
        <x:v>سازه‌های Outdoor</x:v>
      </x:c>
      <x:c r="F44" s="18" t="str">
        <x:v>فاز ۱</x:v>
      </x:c>
      <x:c r="G44" s="18" t="str">
        <x:v>Index after product evidence</x:v>
      </x:c>
      <x:c r="H44" s="18" t="str">
        <x:v>Product Family</x:v>
      </x:c>
      <x:c r="I44" s="18" t="str">
        <x:v>مسیر منطقی قفل برای پیاده‌سازی؛ تغییر Production فقط با Redirect Map مصوب</x:v>
      </x:c>
    </x:row>
    <x:row r="45">
      <x:c r="A45" s="18" t="str">
        <x:v>P-044</x:v>
      </x:c>
      <x:c r="B45" s="18" t="str">
        <x:v>پایه بنر و پرتابل</x:v>
      </x:c>
      <x:c r="C45" s="18" t="str">
        <x:v>/products/outdoor-structures/portable-banner-stands/</x:v>
      </x:c>
      <x:c r="D45" s="18" t="str">
        <x:v>ProductFamily</x:v>
      </x:c>
      <x:c r="E45" s="18" t="str">
        <x:v>سازه‌های Outdoor</x:v>
      </x:c>
      <x:c r="F45" s="18" t="str">
        <x:v>فاز ۱</x:v>
      </x:c>
      <x:c r="G45" s="18" t="str">
        <x:v>Index after product evidence</x:v>
      </x:c>
      <x:c r="H45" s="18" t="str">
        <x:v>Product Family</x:v>
      </x:c>
      <x:c r="I45" s="18" t="str">
        <x:v>مسیر منطقی قفل برای پیاده‌سازی؛ تغییر Production فقط با Redirect Map مصوب</x:v>
      </x:c>
    </x:row>
    <x:row r="46">
      <x:c r="A46" s="18" t="str">
        <x:v>P-045</x:v>
      </x:c>
      <x:c r="B46" s="18" t="str">
        <x:v>تیربورد</x:v>
      </x:c>
      <x:c r="C46" s="18" t="str">
        <x:v>/products/outdoor-structures/tirboards/</x:v>
      </x:c>
      <x:c r="D46" s="18" t="str">
        <x:v>ProductFamily</x:v>
      </x:c>
      <x:c r="E46" s="18" t="str">
        <x:v>سازه‌های Outdoor</x:v>
      </x:c>
      <x:c r="F46" s="18" t="str">
        <x:v>فاز ۱</x:v>
      </x:c>
      <x:c r="G46" s="18" t="str">
        <x:v>Index after product evidence</x:v>
      </x:c>
      <x:c r="H46" s="18" t="str">
        <x:v>Product Family</x:v>
      </x:c>
      <x:c r="I46" s="18" t="str">
        <x:v>مسیر منطقی قفل برای پیاده‌سازی؛ تغییر Production فقط با Redirect Map مصوب</x:v>
      </x:c>
    </x:row>
    <x:row r="47">
      <x:c r="A47" s="18" t="str">
        <x:v>P-046</x:v>
      </x:c>
      <x:c r="B47" s="18" t="str">
        <x:v>لایت‌باکس دیواری Indoor</x:v>
      </x:c>
      <x:c r="C47" s="18" t="str">
        <x:v>/products/indoor-lightboxes/wall-lightboxes/</x:v>
      </x:c>
      <x:c r="D47" s="18" t="str">
        <x:v>ProductFamily</x:v>
      </x:c>
      <x:c r="E47" s="18" t="str">
        <x:v>لایت‌باکس Indoor</x:v>
      </x:c>
      <x:c r="F47" s="18" t="str">
        <x:v>فاز ۱</x:v>
      </x:c>
      <x:c r="G47" s="18" t="str">
        <x:v>Index after product evidence</x:v>
      </x:c>
      <x:c r="H47" s="18" t="str">
        <x:v>Product Family</x:v>
      </x:c>
      <x:c r="I47" s="18" t="str">
        <x:v>مسیر منطقی قفل برای پیاده‌سازی؛ تغییر Production فقط با Redirect Map مصوب</x:v>
      </x:c>
    </x:row>
    <x:row r="48">
      <x:c r="A48" s="18" t="str">
        <x:v>P-047</x:v>
      </x:c>
      <x:c r="B48" s="18" t="str">
        <x:v>لایت‌باکس استند ایستاده Indoor</x:v>
      </x:c>
      <x:c r="C48" s="18" t="str">
        <x:v>/products/indoor-lightboxes/standing-lightboxes/</x:v>
      </x:c>
      <x:c r="D48" s="18" t="str">
        <x:v>ProductFamily</x:v>
      </x:c>
      <x:c r="E48" s="18" t="str">
        <x:v>لایت‌باکس Indoor</x:v>
      </x:c>
      <x:c r="F48" s="18" t="str">
        <x:v>فاز ۱</x:v>
      </x:c>
      <x:c r="G48" s="18" t="str">
        <x:v>Index after product evidence</x:v>
      </x:c>
      <x:c r="H48" s="18" t="str">
        <x:v>Product Family</x:v>
      </x:c>
      <x:c r="I48" s="18" t="str">
        <x:v>مسیر منطقی قفل برای پیاده‌سازی؛ تغییر Production فقط با Redirect Map مصوب</x:v>
      </x:c>
    </x:row>
    <x:row r="49">
      <x:c r="A49" s="18" t="str">
        <x:v>P-048</x:v>
      </x:c>
      <x:c r="B49" s="18" t="str">
        <x:v>لایت‌باکس عکس شهدا</x:v>
      </x:c>
      <x:c r="C49" s="18" t="str">
        <x:v>/solutions/municipalities/martyrs-lightboxes/</x:v>
      </x:c>
      <x:c r="D49" s="18" t="str">
        <x:v>SolutionLanding</x:v>
      </x:c>
      <x:c r="E49" s="18" t="str">
        <x:v>راهکارها</x:v>
      </x:c>
      <x:c r="F49" s="18" t="str">
        <x:v>فاز ۱ انتخابی</x:v>
      </x:c>
      <x:c r="G49" s="18" t="str">
        <x:v>Index فقط با تقاضا، نمونه و متن متمایز</x:v>
      </x:c>
      <x:c r="H49" s="18" t="str">
        <x:v>Service / Landing</x:v>
      </x:c>
      <x:c r="I49" s="18" t="str">
        <x:v>مسیر منطقی قفل برای پیاده‌سازی؛ تغییر Production فقط با Redirect Map مصوب</x:v>
      </x:c>
    </x:row>
    <x:row r="50">
      <x:c r="A50" s="18" t="str">
        <x:v>P-049</x:v>
      </x:c>
      <x:c r="B50" s="18" t="str">
        <x:v>طراحی لوگو</x:v>
      </x:c>
      <x:c r="C50" s="18" t="str">
        <x:v>/services/visual-identity/logo-design/</x:v>
      </x:c>
      <x:c r="D50" s="18" t="str">
        <x:v>Service</x:v>
      </x:c>
      <x:c r="E50" s="18" t="str">
        <x:v>هویت بصری برند و اقلام تبلیغاتی کسب‌وکارها</x:v>
      </x:c>
      <x:c r="F50" s="18" t="str">
        <x:v>فاز ۱</x:v>
      </x:c>
      <x:c r="G50" s="18" t="str">
        <x:v>Index</x:v>
      </x:c>
      <x:c r="H50" s="18" t="str">
        <x:v>Service / Landing</x:v>
      </x:c>
      <x:c r="I50" s="18" t="str">
        <x:v>مسیر منطقی قفل برای پیاده‌سازی؛ تغییر Production فقط با Redirect Map مصوب</x:v>
      </x:c>
    </x:row>
    <x:row r="51">
      <x:c r="A51" s="18" t="str">
        <x:v>P-050</x:v>
      </x:c>
      <x:c r="B51" s="18" t="str">
        <x:v>طراحی هویت بصری برند</x:v>
      </x:c>
      <x:c r="C51" s="18" t="str">
        <x:v>/services/visual-identity/visual-identity/</x:v>
      </x:c>
      <x:c r="D51" s="18" t="str">
        <x:v>Service</x:v>
      </x:c>
      <x:c r="E51" s="18" t="str">
        <x:v>هویت بصری برند و اقلام تبلیغاتی کسب‌وکارها</x:v>
      </x:c>
      <x:c r="F51" s="18" t="str">
        <x:v>فاز ۱</x:v>
      </x:c>
      <x:c r="G51" s="18" t="str">
        <x:v>Index</x:v>
      </x:c>
      <x:c r="H51" s="18" t="str">
        <x:v>Service / Landing</x:v>
      </x:c>
      <x:c r="I51" s="18" t="str">
        <x:v>مسیر منطقی قفل برای پیاده‌سازی؛ تغییر Production فقط با Redirect Map مصوب</x:v>
      </x:c>
    </x:row>
    <x:row r="52">
      <x:c r="A52" s="18" t="str">
        <x:v>P-051</x:v>
      </x:c>
      <x:c r="B52" s="18" t="str">
        <x:v>طراحی کاتالوگ</x:v>
      </x:c>
      <x:c r="C52" s="18" t="str">
        <x:v>/services/brand-collateral-design/catalog-design/</x:v>
      </x:c>
      <x:c r="D52" s="18" t="str">
        <x:v>Service</x:v>
      </x:c>
      <x:c r="E52" s="18" t="str">
        <x:v>هویت بصری برند و اقلام تبلیغاتی کسب‌وکارها</x:v>
      </x:c>
      <x:c r="F52" s="18" t="str">
        <x:v>فاز ۱</x:v>
      </x:c>
      <x:c r="G52" s="18" t="str">
        <x:v>Index</x:v>
      </x:c>
      <x:c r="H52" s="18" t="str">
        <x:v>Service / Landing</x:v>
      </x:c>
      <x:c r="I52" s="18" t="str">
        <x:v>مسیر منطقی قفل برای پیاده‌سازی؛ تغییر Production فقط با Redirect Map مصوب</x:v>
      </x:c>
    </x:row>
    <x:row r="53">
      <x:c r="A53" s="18" t="str">
        <x:v>P-052</x:v>
      </x:c>
      <x:c r="B53" s="18" t="str">
        <x:v>چاپ پارچه تبلیغاتی</x:v>
      </x:c>
      <x:c r="C53" s="18" t="str">
        <x:v>/printing/large-format/textile-printing/</x:v>
      </x:c>
      <x:c r="D53" s="18" t="str">
        <x:v>Service</x:v>
      </x:c>
      <x:c r="E53" s="18" t="str">
        <x:v>چاپ لارج‌فرمت</x:v>
      </x:c>
      <x:c r="F53" s="18" t="str">
        <x:v>فاز ۱</x:v>
      </x:c>
      <x:c r="G53" s="18" t="str">
        <x:v>Index مشروط به عدم هم‌پوشانی</x:v>
      </x:c>
      <x:c r="H53" s="18" t="str">
        <x:v>Service / Landing</x:v>
      </x:c>
      <x:c r="I53" s="18" t="str">
        <x:v>مسیر منطقی قفل برای پیاده‌سازی؛ تغییر Production فقط با Redirect Map مصوب</x:v>
      </x:c>
    </x:row>
    <x:row r="54">
      <x:c r="A54" s="18" t="str">
        <x:v>P-053</x:v>
      </x:c>
      <x:c r="B54" s="18" t="str">
        <x:v>چاپ تکستایل یووی مخصوص لایت‌باکس</x:v>
      </x:c>
      <x:c r="C54" s="18" t="str">
        <x:v>/printing/large-format/uv-textile/</x:v>
      </x:c>
      <x:c r="D54" s="18" t="str">
        <x:v>Service</x:v>
      </x:c>
      <x:c r="E54" s="18" t="str">
        <x:v>چاپ لارج‌فرمت</x:v>
      </x:c>
      <x:c r="F54" s="18" t="str">
        <x:v>فاز ۱</x:v>
      </x:c>
      <x:c r="G54" s="18" t="str">
        <x:v>Index</x:v>
      </x:c>
      <x:c r="H54" s="18" t="str">
        <x:v>Service / Landing</x:v>
      </x:c>
      <x:c r="I54" s="18" t="str">
        <x:v>مسیر منطقی قفل برای پیاده‌سازی؛ تغییر Production فقط با Redirect Map مصوب</x:v>
      </x:c>
    </x:row>
    <x:row r="55">
      <x:c r="A55" s="18" t="str">
        <x:v>P-054</x:v>
      </x:c>
      <x:c r="B55" s="18" t="str">
        <x:v>چاپ بنر</x:v>
      </x:c>
      <x:c r="C55" s="18" t="str">
        <x:v>/printing/large-format/banner-printing/</x:v>
      </x:c>
      <x:c r="D55" s="18" t="str">
        <x:v>Service</x:v>
      </x:c>
      <x:c r="E55" s="18" t="str">
        <x:v>چاپ لارج‌فرمت</x:v>
      </x:c>
      <x:c r="F55" s="18" t="str">
        <x:v>فاز ۱</x:v>
      </x:c>
      <x:c r="G55" s="18" t="str">
        <x:v>Index پس از Query/Content Gate</x:v>
      </x:c>
      <x:c r="H55" s="18" t="str">
        <x:v>Service / Landing</x:v>
      </x:c>
      <x:c r="I55" s="18" t="str">
        <x:v>مسیر منطقی قفل برای پیاده‌سازی؛ تغییر Production فقط با Redirect Map مصوب</x:v>
      </x:c>
    </x:row>
    <x:row r="56">
      <x:c r="A56" s="18" t="str">
        <x:v>P-055</x:v>
      </x:c>
      <x:c r="B56" s="18" t="str">
        <x:v>چاپ فلکس</x:v>
      </x:c>
      <x:c r="C56" s="18" t="str">
        <x:v>/printing/large-format/flex-printing/</x:v>
      </x:c>
      <x:c r="D56" s="18" t="str">
        <x:v>Service</x:v>
      </x:c>
      <x:c r="E56" s="18" t="str">
        <x:v>چاپ لارج‌فرمت</x:v>
      </x:c>
      <x:c r="F56" s="18" t="str">
        <x:v>فاز ۱</x:v>
      </x:c>
      <x:c r="G56" s="18" t="str">
        <x:v>Index پس از Query/Content Gate</x:v>
      </x:c>
      <x:c r="H56" s="18" t="str">
        <x:v>Service / Landing</x:v>
      </x:c>
      <x:c r="I56" s="18" t="str">
        <x:v>مسیر منطقی قفل برای پیاده‌سازی؛ تغییر Production فقط با Redirect Map مصوب</x:v>
      </x:c>
    </x:row>
    <x:row r="57">
      <x:c r="A57" s="18" t="str">
        <x:v>P-056</x:v>
      </x:c>
      <x:c r="B57" s="18" t="str">
        <x:v>چاپ مش</x:v>
      </x:c>
      <x:c r="C57" s="18" t="str">
        <x:v>/printing/large-format/mesh-printing/</x:v>
      </x:c>
      <x:c r="D57" s="18" t="str">
        <x:v>Service</x:v>
      </x:c>
      <x:c r="E57" s="18" t="str">
        <x:v>چاپ لارج‌فرمت</x:v>
      </x:c>
      <x:c r="F57" s="18" t="str">
        <x:v>فاز ۱</x:v>
      </x:c>
      <x:c r="G57" s="18" t="str">
        <x:v>Index پس از Query/Content Gate</x:v>
      </x:c>
      <x:c r="H57" s="18" t="str">
        <x:v>Service / Landing</x:v>
      </x:c>
      <x:c r="I57" s="18" t="str">
        <x:v>مسیر منطقی قفل برای پیاده‌سازی؛ تغییر Production فقط با Redirect Map مصوب</x:v>
      </x:c>
    </x:row>
    <x:row r="58">
      <x:c r="A58" s="18" t="str">
        <x:v>P-057</x:v>
      </x:c>
      <x:c r="B58" s="18" t="str">
        <x:v>چاپ استیکر و لیبل</x:v>
      </x:c>
      <x:c r="C58" s="18" t="str">
        <x:v>/printing/large-format/sticker-printing/</x:v>
      </x:c>
      <x:c r="D58" s="18" t="str">
        <x:v>Service</x:v>
      </x:c>
      <x:c r="E58" s="18" t="str">
        <x:v>چاپ لارج‌فرمت</x:v>
      </x:c>
      <x:c r="F58" s="18" t="str">
        <x:v>فاز ۱</x:v>
      </x:c>
      <x:c r="G58" s="18" t="str">
        <x:v>Index</x:v>
      </x:c>
      <x:c r="H58" s="18" t="str">
        <x:v>Service / Landing</x:v>
      </x:c>
      <x:c r="I58" s="18" t="str">
        <x:v>مسیر منطقی قفل برای پیاده‌سازی؛ تغییر Production فقط با Redirect Map مصوب</x:v>
      </x:c>
    </x:row>
    <x:row r="59">
      <x:c r="A59" s="18" t="str">
        <x:v>P-058</x:v>
      </x:c>
      <x:c r="B59" s="18" t="str">
        <x:v>چاپ پرچم</x:v>
      </x:c>
      <x:c r="C59" s="18" t="str">
        <x:v>/printing/large-format/flag-printing/</x:v>
      </x:c>
      <x:c r="D59" s="18" t="str">
        <x:v>Service</x:v>
      </x:c>
      <x:c r="E59" s="18" t="str">
        <x:v>چاپ لارج‌فرمت</x:v>
      </x:c>
      <x:c r="F59" s="18" t="str">
        <x:v>فاز ۱ انتخابی</x:v>
      </x:c>
      <x:c r="G59" s="18" t="str">
        <x:v>Index مشروط</x:v>
      </x:c>
      <x:c r="H59" s="18" t="str">
        <x:v>Service / Landing</x:v>
      </x:c>
      <x:c r="I59" s="18" t="str">
        <x:v>مسیر منطقی قفل برای پیاده‌سازی؛ تغییر Production فقط با Redirect Map مصوب</x:v>
      </x:c>
    </x:row>
    <x:row r="60">
      <x:c r="A60" s="18" t="str">
        <x:v>P-059</x:v>
      </x:c>
      <x:c r="B60" s="18" t="str">
        <x:v>چاپ کاتالوگ</x:v>
      </x:c>
      <x:c r="C60" s="18" t="str">
        <x:v>/printing/offset/catalog-printing/</x:v>
      </x:c>
      <x:c r="D60" s="18" t="str">
        <x:v>Service</x:v>
      </x:c>
      <x:c r="E60" s="18" t="str">
        <x:v>چاپ افست</x:v>
      </x:c>
      <x:c r="F60" s="18" t="str">
        <x:v>فاز ۱</x:v>
      </x:c>
      <x:c r="G60" s="18" t="str">
        <x:v>Index</x:v>
      </x:c>
      <x:c r="H60" s="18" t="str">
        <x:v>Service / Landing</x:v>
      </x:c>
      <x:c r="I60" s="18" t="str">
        <x:v>مسیر منطقی قفل برای پیاده‌سازی؛ تغییر Production فقط با Redirect Map مصوب</x:v>
      </x:c>
    </x:row>
    <x:row r="61">
      <x:c r="A61" s="18" t="str">
        <x:v>P-060</x:v>
      </x:c>
      <x:c r="B61" s="18" t="str">
        <x:v>چاپ استند</x:v>
      </x:c>
      <x:c r="C61" s="18" t="str">
        <x:v>/printing/large-format/exhibition-displays/</x:v>
      </x:c>
      <x:c r="D61" s="18" t="str">
        <x:v>SalesLanding</x:v>
      </x:c>
      <x:c r="E61" s="18" t="str">
        <x:v>چاپ لارج‌فرمت</x:v>
      </x:c>
      <x:c r="F61" s="18" t="str">
        <x:v>فاز ۱</x:v>
      </x:c>
      <x:c r="G61" s="18" t="str">
        <x:v>Index پس از شواهد و کوئری</x:v>
      </x:c>
      <x:c r="H61" s="18" t="str">
        <x:v>Service / Landing</x:v>
      </x:c>
      <x:c r="I61" s="18" t="str">
        <x:v>مسیر منطقی قفل برای پیاده‌سازی؛ تغییر Production فقط با Redirect Map مصوب</x:v>
      </x:c>
    </x:row>
    <x:row r="62">
      <x:c r="A62" s="18" t="str">
        <x:v>P-061</x:v>
      </x:c>
      <x:c r="B62" s="18" t="str">
        <x:v>توسعه و بازطراحی سایت</x:v>
      </x:c>
      <x:c r="C62" s="18" t="str">
        <x:v>/services/web-design/redesign/</x:v>
      </x:c>
      <x:c r="D62" s="18" t="str">
        <x:v>Service</x:v>
      </x:c>
      <x:c r="E62" s="18" t="str">
        <x:v>خدمات وب‌سایت</x:v>
      </x:c>
      <x:c r="F62" s="18" t="str">
        <x:v>فاز ۱ انتخابی</x:v>
      </x:c>
      <x:c r="G62" s="18" t="str">
        <x:v>Index پس از Evidence/SEO Gate</x:v>
      </x:c>
      <x:c r="H62" s="18" t="str">
        <x:v>Service / Landing</x:v>
      </x:c>
      <x:c r="I62" s="18" t="str">
        <x:v>مسیر منطقی قفل برای پیاده‌سازی؛ تغییر Production فقط با Redirect Map مصوب</x:v>
      </x:c>
    </x:row>
    <x:row r="63">
      <x:c r="A63" s="18" t="str">
        <x:v>P-062</x:v>
      </x:c>
      <x:c r="B63" s="18" t="str">
        <x:v>توسعه ماژول و افزونه اختصاصی</x:v>
      </x:c>
      <x:c r="C63" s="18" t="str">
        <x:v>/services/web-design/custom-development/</x:v>
      </x:c>
      <x:c r="D63" s="18" t="str">
        <x:v>Service</x:v>
      </x:c>
      <x:c r="E63" s="18" t="str">
        <x:v>خدمات وب‌سایت</x:v>
      </x:c>
      <x:c r="F63" s="18" t="str">
        <x:v>فاز ۱ انتخابی</x:v>
      </x:c>
      <x:c r="G63" s="18" t="str">
        <x:v>Index پس از Evidence/SEO Gate</x:v>
      </x:c>
      <x:c r="H63" s="18" t="str">
        <x:v>Service / Landing</x:v>
      </x:c>
      <x:c r="I63" s="18" t="str">
        <x:v>مسیر منطقی قفل برای پیاده‌سازی؛ تغییر Production فقط با Redirect Map مصوب</x:v>
      </x:c>
    </x:row>
    <x:row r="64">
      <x:c r="A64" s="18" t="str">
        <x:v>P-063</x:v>
      </x:c>
      <x:c r="B64" s="18" t="str">
        <x:v>مشاوره و تحلیل معماری سایت</x:v>
      </x:c>
      <x:c r="C64" s="18" t="str">
        <x:v>/services/web-design/architecture-consulting/</x:v>
      </x:c>
      <x:c r="D64" s="18" t="str">
        <x:v>Service</x:v>
      </x:c>
      <x:c r="E64" s="18" t="str">
        <x:v>خدمات وب‌سایت</x:v>
      </x:c>
      <x:c r="F64" s="18" t="str">
        <x:v>فاز ۱ انتخابی</x:v>
      </x:c>
      <x:c r="G64" s="18" t="str">
        <x:v>Index پس از Evidence/SEO Gate</x:v>
      </x:c>
      <x:c r="H64" s="18" t="str">
        <x:v>Service / Landing</x:v>
      </x:c>
      <x:c r="I64" s="18" t="str">
        <x:v>مسیر منطقی قفل برای پیاده‌سازی؛ تغییر Production فقط با Redirect Map مصوب</x:v>
      </x:c>
    </x:row>
    <x:row r="65">
      <x:c r="A65" s="18" t="str">
        <x:v>P-064</x:v>
      </x:c>
      <x:c r="B65" s="18" t="str">
        <x:v>سئو تکنیکال و اولیه</x:v>
      </x:c>
      <x:c r="C65" s="18" t="str">
        <x:v>/services/seo/</x:v>
      </x:c>
      <x:c r="D65" s="18" t="str">
        <x:v>Service</x:v>
      </x:c>
      <x:c r="E65" s="18" t="str">
        <x:v>سئو، تحلیل و بهبود تبدیل</x:v>
      </x:c>
      <x:c r="F65" s="18" t="str">
        <x:v>فاز ۲ / حضور محدود</x:v>
      </x:c>
      <x:c r="G65" s="18" t="str">
        <x:v>Index با قدرت محدود تا تکمیل شواهد</x:v>
      </x:c>
      <x:c r="H65" s="18" t="str">
        <x:v>Service / Landing</x:v>
      </x:c>
      <x:c r="I65" s="18" t="str">
        <x:v>مسیر منطقی قفل برای پیاده‌سازی؛ تغییر Production فقط با Redirect Map مصوب</x:v>
      </x:c>
    </x:row>
    <x:row r="66">
      <x:c r="A66" s="18" t="str">
        <x:v>P-065</x:v>
      </x:c>
      <x:c r="B66" s="18" t="str">
        <x:v>آنالیز و بهبود آمار وب‌سایت</x:v>
      </x:c>
      <x:c r="C66" s="18" t="str">
        <x:v>/services/conversion-analytics/</x:v>
      </x:c>
      <x:c r="D66" s="18" t="str">
        <x:v>Service</x:v>
      </x:c>
      <x:c r="E66" s="18" t="str">
        <x:v>سئو، تحلیل و بهبود تبدیل</x:v>
      </x:c>
      <x:c r="F66" s="18" t="str">
        <x:v>فاز ۲ / حضور محدود</x:v>
      </x:c>
      <x:c r="G66" s="18" t="str">
        <x:v>Index با قدرت محدود تا تکمیل شواهد</x:v>
      </x:c>
      <x:c r="H66" s="18" t="str">
        <x:v>Service / Landing</x:v>
      </x:c>
      <x:c r="I66" s="18" t="str">
        <x:v>مسیر منطقی قفل برای پیاده‌سازی؛ تغییر Production فقط با Redirect Map مصوب</x:v>
      </x:c>
    </x:row>
    <x:row r="67">
      <x:c r="A67" s="18" t="str">
        <x:v>P-066</x:v>
      </x:c>
      <x:c r="B67" s="18" t="str">
        <x:v>آنالیز و بهبود پیج اینستاگرام</x:v>
      </x:c>
      <x:c r="C67" s="18" t="str">
        <x:v>/services/social-media/instagram/</x:v>
      </x:c>
      <x:c r="D67" s="18" t="str">
        <x:v>Service</x:v>
      </x:c>
      <x:c r="E67" s="18" t="str">
        <x:v>مدیریت و تولید محتوای شبکه‌های اجتماعی</x:v>
      </x:c>
      <x:c r="F67" s="18" t="str">
        <x:v>فاز ۱</x:v>
      </x:c>
      <x:c r="G67" s="18" t="str">
        <x:v>دسته Index؛ فرزندان با SEO/Evidence Gate</x:v>
      </x:c>
      <x:c r="H67" s="18" t="str">
        <x:v>Service / Landing</x:v>
      </x:c>
      <x:c r="I67" s="18" t="str">
        <x:v>مسیر منطقی قفل برای پیاده‌سازی؛ تغییر Production فقط با Redirect Map مصوب</x:v>
      </x:c>
    </x:row>
    <x:row r="68">
      <x:c r="A68" s="18" t="str">
        <x:v>P-067</x:v>
      </x:c>
      <x:c r="B68" s="18" t="str">
        <x:v>تولید محتوای ویدئویی و ادیت</x:v>
      </x:c>
      <x:c r="C68" s="18" t="str">
        <x:v>/services/social-media/instagram/video-content/</x:v>
      </x:c>
      <x:c r="D68" s="18" t="str">
        <x:v>Service</x:v>
      </x:c>
      <x:c r="E68" s="18" t="str">
        <x:v>مدیریت و تولید محتوای شبکه‌های اجتماعی</x:v>
      </x:c>
      <x:c r="F68" s="18" t="str">
        <x:v>فاز ۱</x:v>
      </x:c>
      <x:c r="G68" s="18" t="str">
        <x:v>دسته Index؛ فرزندان با SEO/Evidence Gate</x:v>
      </x:c>
      <x:c r="H68" s="18" t="str">
        <x:v>Service / Landing</x:v>
      </x:c>
      <x:c r="I68" s="18" t="str">
        <x:v>مسیر منطقی قفل برای پیاده‌سازی؛ تغییر Production فقط با Redirect Map مصوب</x:v>
      </x:c>
    </x:row>
    <x:row r="69">
      <x:c r="A69" s="18" t="str">
        <x:v>P-068</x:v>
      </x:c>
      <x:c r="B69" s="18" t="str">
        <x:v>تولید محتوای گرافیکی پست و استوری</x:v>
      </x:c>
      <x:c r="C69" s="18" t="str">
        <x:v>/services/social-media/instagram/graphic-content/</x:v>
      </x:c>
      <x:c r="D69" s="18" t="str">
        <x:v>Service</x:v>
      </x:c>
      <x:c r="E69" s="18" t="str">
        <x:v>مدیریت و تولید محتوای شبکه‌های اجتماعی</x:v>
      </x:c>
      <x:c r="F69" s="18" t="str">
        <x:v>فاز ۱</x:v>
      </x:c>
      <x:c r="G69" s="18" t="str">
        <x:v>دسته Index؛ فرزندان با SEO/Evidence Gate</x:v>
      </x:c>
      <x:c r="H69" s="18" t="str">
        <x:v>Service / Landing</x:v>
      </x:c>
      <x:c r="I69" s="18" t="str">
        <x:v>مسیر منطقی قفل برای پیاده‌سازی؛ تغییر Production فقط با Redirect Map مصوب</x:v>
      </x:c>
    </x:row>
    <x:row r="70">
      <x:c r="A70" s="18" t="str">
        <x:v>P-069</x:v>
      </x:c>
      <x:c r="B70" s="18" t="str">
        <x:v>اتوماسیون با هوش مصنوعی</x:v>
      </x:c>
      <x:c r="C70" s="18" t="str">
        <x:v>/services/web-design/ai-automation/</x:v>
      </x:c>
      <x:c r="D70" s="18" t="str">
        <x:v>Service</x:v>
      </x:c>
      <x:c r="E70" s="18" t="str">
        <x:v>خدمات وب‌سایت</x:v>
      </x:c>
      <x:c r="F70" s="18" t="str">
        <x:v>فاز ۱ انتخابی</x:v>
      </x:c>
      <x:c r="G70" s="18" t="str">
        <x:v>Index پس از Evidence/SEO Gate</x:v>
      </x:c>
      <x:c r="H70" s="18" t="str">
        <x:v>Service / Landing</x:v>
      </x:c>
      <x:c r="I70" s="18" t="str">
        <x:v>مسیر منطقی قفل برای پیاده‌سازی؛ تغییر Production فقط با Redirect Map مصوب</x:v>
      </x:c>
    </x:row>
    <x:row r="71">
      <x:c r="A71" s="18" t="str">
        <x:v>P-070</x:v>
      </x:c>
      <x:c r="B71" s="18" t="str">
        <x:v>تهیه و تدوین اسناد استراتژیک پایه</x:v>
      </x:c>
      <x:c r="C71" s="18" t="str">
        <x:v>/services/strategy/strategic-documents/</x:v>
      </x:c>
      <x:c r="D71" s="18" t="str">
        <x:v>Service</x:v>
      </x:c>
      <x:c r="E71" s="18" t="str">
        <x:v>استراتژی‌های کلان سازمان</x:v>
      </x:c>
      <x:c r="F71" s="18" t="str">
        <x:v>فاز ۲ / حضور محدود</x:v>
      </x:c>
      <x:c r="G71" s="18" t="str">
        <x:v>Index پس از Evidence Gate</x:v>
      </x:c>
      <x:c r="H71" s="18" t="str">
        <x:v>Service / Landing</x:v>
      </x:c>
      <x:c r="I71" s="18" t="str">
        <x:v>مسیر منطقی قفل برای پیاده‌سازی؛ تغییر Production فقط با Redirect Map مصوب</x:v>
      </x:c>
    </x:row>
    <x:row r="72">
      <x:c r="A72" s="18" t="str">
        <x:v>P-071</x:v>
      </x:c>
      <x:c r="B72" s="18" t="str">
        <x:v>تدوین استراتژی بازاریابی</x:v>
      </x:c>
      <x:c r="C72" s="18" t="str">
        <x:v>/services/strategy/marketing/</x:v>
      </x:c>
      <x:c r="D72" s="18" t="str">
        <x:v>Service</x:v>
      </x:c>
      <x:c r="E72" s="18" t="str">
        <x:v>استراتژی برند، بازاریابی و فروش</x:v>
      </x:c>
      <x:c r="F72" s="18" t="str">
        <x:v>فاز ۲ / حضور محدود</x:v>
      </x:c>
      <x:c r="G72" s="18" t="str">
        <x:v>Index پس از شواهد تخصصی</x:v>
      </x:c>
      <x:c r="H72" s="18" t="str">
        <x:v>Service / Landing</x:v>
      </x:c>
      <x:c r="I72" s="18" t="str">
        <x:v>مسیر منطقی قفل برای پیاده‌سازی؛ تغییر Production فقط با Redirect Map مصوب</x:v>
      </x:c>
    </x:row>
    <x:row r="73">
      <x:c r="A73" s="18" t="str">
        <x:v>P-072</x:v>
      </x:c>
      <x:c r="B73" s="18" t="str">
        <x:v>تدوین استراتژی فروش</x:v>
      </x:c>
      <x:c r="C73" s="18" t="str">
        <x:v>/services/strategy/sales/</x:v>
      </x:c>
      <x:c r="D73" s="18" t="str">
        <x:v>Service</x:v>
      </x:c>
      <x:c r="E73" s="18" t="str">
        <x:v>استراتژی برند، بازاریابی و فروش</x:v>
      </x:c>
      <x:c r="F73" s="18" t="str">
        <x:v>فاز ۲ / حضور محدود</x:v>
      </x:c>
      <x:c r="G73" s="18" t="str">
        <x:v>Index پس از شواهد تخصصی</x:v>
      </x:c>
      <x:c r="H73" s="18" t="str">
        <x:v>Service / Landing</x:v>
      </x:c>
      <x:c r="I73" s="18" t="str">
        <x:v>مسیر منطقی قفل برای پیاده‌سازی؛ تغییر Production فقط با Redirect Map مصوب</x:v>
      </x:c>
    </x:row>
    <x:row r="74">
      <x:c r="A74" s="18" t="str">
        <x:v>P-073</x:v>
      </x:c>
      <x:c r="B74" s="18" t="str">
        <x:v>تولید ریلز</x:v>
      </x:c>
      <x:c r="C74" s="18" t="str">
        <x:v>/services/social-media/instagram/reels-production/</x:v>
      </x:c>
      <x:c r="D74" s="18" t="str">
        <x:v>Service</x:v>
      </x:c>
      <x:c r="E74" s="18" t="str">
        <x:v>مدیریت و تولید محتوای شبکه‌های اجتماعی</x:v>
      </x:c>
      <x:c r="F74" s="18" t="str">
        <x:v>فاز ۱</x:v>
      </x:c>
      <x:c r="G74" s="18" t="str">
        <x:v>Index پس از Portfolio/SEO Gate</x:v>
      </x:c>
      <x:c r="H74" s="18" t="str">
        <x:v>Service / Landing</x:v>
      </x:c>
      <x:c r="I74" s="18" t="str">
        <x:v>مسیر منطقی قفل برای پیاده‌سازی؛ تغییر Production فقط با Redirect Map مصوب</x:v>
      </x:c>
    </x:row>
    <x:row r="75">
      <x:c r="A75" s="18" t="str">
        <x:v>P-074</x:v>
      </x:c>
      <x:c r="B75" s="18" t="str">
        <x:v>تولید کلیپ مصاحبه</x:v>
      </x:c>
      <x:c r="C75" s="18" t="str">
        <x:v>/services/industrial-video/interview-clips/</x:v>
      </x:c>
      <x:c r="D75" s="18" t="str">
        <x:v>Service</x:v>
      </x:c>
      <x:c r="E75" s="18" t="str">
        <x:v>کلیپ و تیزر</x:v>
      </x:c>
      <x:c r="F75" s="18" t="str">
        <x:v>فاز ۱ انتخابی</x:v>
      </x:c>
      <x:c r="G75" s="18" t="str">
        <x:v>Index پس از شواهد</x:v>
      </x:c>
      <x:c r="H75" s="18" t="str">
        <x:v>Service / Landing</x:v>
      </x:c>
      <x:c r="I75" s="18" t="str">
        <x:v>مسیر منطقی قفل برای پیاده‌سازی؛ تغییر Production فقط با Redirect Map مصوب</x:v>
      </x:c>
    </x:row>
    <x:row r="76">
      <x:c r="A76" s="18" t="str">
        <x:v>P-075</x:v>
      </x:c>
      <x:c r="B76" s="18" t="str">
        <x:v>معرفی محصول ویدئویی</x:v>
      </x:c>
      <x:c r="C76" s="18" t="str">
        <x:v>/services/industrial-video/product-videos/</x:v>
      </x:c>
      <x:c r="D76" s="18" t="str">
        <x:v>Service</x:v>
      </x:c>
      <x:c r="E76" s="18" t="str">
        <x:v>کلیپ و تیزر</x:v>
      </x:c>
      <x:c r="F76" s="18" t="str">
        <x:v>فاز ۱ انتخابی</x:v>
      </x:c>
      <x:c r="G76" s="18" t="str">
        <x:v>Index پس از شواهد</x:v>
      </x:c>
      <x:c r="H76" s="18" t="str">
        <x:v>Service / Landing</x:v>
      </x:c>
      <x:c r="I76" s="18" t="str">
        <x:v>مسیر منطقی قفل برای پیاده‌سازی؛ تغییر Production فقط با Redirect Map مصوب</x:v>
      </x:c>
    </x:row>
    <x:row r="77">
      <x:c r="A77" s="18" t="str">
        <x:v>P-076</x:v>
      </x:c>
      <x:c r="B77" s="18" t="str">
        <x:v>تیزر تبلیغاتی صنعتی</x:v>
      </x:c>
      <x:c r="C77" s="18" t="str">
        <x:v>/services/industrial-video/industrial-teasers/</x:v>
      </x:c>
      <x:c r="D77" s="18" t="str">
        <x:v>Service</x:v>
      </x:c>
      <x:c r="E77" s="18" t="str">
        <x:v>کلیپ و تیزر</x:v>
      </x:c>
      <x:c r="F77" s="18" t="str">
        <x:v>فاز ۱ انتخابی</x:v>
      </x:c>
      <x:c r="G77" s="18" t="str">
        <x:v>Index پس از شواهد</x:v>
      </x:c>
      <x:c r="H77" s="18" t="str">
        <x:v>Service / Landing</x:v>
      </x:c>
      <x:c r="I77" s="18" t="str">
        <x:v>مسیر منطقی قفل برای پیاده‌سازی؛ تغییر Production فقط با Redirect Map مصوب</x:v>
      </x:c>
    </x:row>
    <x:row r="78">
      <x:c r="A78" s="18" t="str">
        <x:v>P-077</x:v>
      </x:c>
      <x:c r="B78" s="18" t="str">
        <x:v>کلیپ تبلیغاتی عمومی</x:v>
      </x:c>
      <x:c r="C78" s="18" t="str">
        <x:v>/services/industrial-video/advertising-clips/</x:v>
      </x:c>
      <x:c r="D78" s="18" t="str">
        <x:v>Service</x:v>
      </x:c>
      <x:c r="E78" s="18" t="str">
        <x:v>کلیپ و تیزر</x:v>
      </x:c>
      <x:c r="F78" s="18" t="str">
        <x:v>فاز ۱ انتخابی</x:v>
      </x:c>
      <x:c r="G78" s="18" t="str">
        <x:v>Index پس از شواهد</x:v>
      </x:c>
      <x:c r="H78" s="18" t="str">
        <x:v>Service / Landing</x:v>
      </x:c>
      <x:c r="I78" s="18" t="str">
        <x:v>مسیر منطقی قفل برای پیاده‌سازی؛ تغییر Production فقط با Redirect Map مصوب</x:v>
      </x:c>
    </x:row>
    <x:row r="79">
      <x:c r="A79" s="18" t="str">
        <x:v>P-078</x:v>
      </x:c>
      <x:c r="B79" s="18" t="str">
        <x:v>تصویربرداری رویدادها</x:v>
      </x:c>
      <x:c r="C79" s="18" t="str">
        <x:v>/services/event-filming/</x:v>
      </x:c>
      <x:c r="D79" s="18" t="str">
        <x:v>Service</x:v>
      </x:c>
      <x:c r="E79" s="18" t="str">
        <x:v>تصویربرداری رویداد و هوایی</x:v>
      </x:c>
      <x:c r="F79" s="18" t="str">
        <x:v>فاز ۱ انتخابی</x:v>
      </x:c>
      <x:c r="G79" s="18" t="str">
        <x:v>Index پس از شواهد</x:v>
      </x:c>
      <x:c r="H79" s="18" t="str">
        <x:v>Service / Landing</x:v>
      </x:c>
      <x:c r="I79" s="18" t="str">
        <x:v>مسیر منطقی قفل برای پیاده‌سازی؛ تغییر Production فقط با Redirect Map مصوب</x:v>
      </x:c>
    </x:row>
    <x:row r="80">
      <x:c r="A80" s="18" t="str">
        <x:v>P-079</x:v>
      </x:c>
      <x:c r="B80" s="18" t="str">
        <x:v>هلی‌شات و تصاویر هوایی</x:v>
      </x:c>
      <x:c r="C80" s="18" t="str">
        <x:v>/services/aerial-imaging/</x:v>
      </x:c>
      <x:c r="D80" s="18" t="str">
        <x:v>Service</x:v>
      </x:c>
      <x:c r="E80" s="18" t="str">
        <x:v>تصویربرداری رویداد و هوایی</x:v>
      </x:c>
      <x:c r="F80" s="18" t="str">
        <x:v>فاز ۱ انتخابی</x:v>
      </x:c>
      <x:c r="G80" s="18" t="str">
        <x:v>Index پس از شواهد</x:v>
      </x:c>
      <x:c r="H80" s="18" t="str">
        <x:v>Service / Landing</x:v>
      </x:c>
      <x:c r="I80" s="18" t="str">
        <x:v>مسیر منطقی قفل برای پیاده‌سازی؛ تغییر Production فقط با Redirect Map مصوب</x:v>
      </x:c>
    </x:row>
    <x:row r="81">
      <x:c r="A81" s="18" t="str">
        <x:v>P-080</x:v>
      </x:c>
      <x:c r="B81" s="18" t="str">
        <x:v>راهکار شهرداری‌ها و نهادهای عمومی</x:v>
      </x:c>
      <x:c r="C81" s="18" t="str">
        <x:v>/solutions/municipalities/</x:v>
      </x:c>
      <x:c r="D81" s="18" t="str">
        <x:v>SolutionLanding</x:v>
      </x:c>
      <x:c r="E81" s="18" t="str">
        <x:v>راهکارها</x:v>
      </x:c>
      <x:c r="F81" s="18" t="str">
        <x:v>فاز ۱</x:v>
      </x:c>
      <x:c r="G81" s="18" t="str">
        <x:v>Index فقط با پیشنهاد و شواهد متمایز</x:v>
      </x:c>
      <x:c r="H81" s="18" t="str">
        <x:v>Solution Landing</x:v>
      </x:c>
      <x:c r="I81" s="18" t="str">
        <x:v>مسیر منطقی قفل برای پیاده‌سازی؛ تغییر Production فقط با Redirect Map مصوب</x:v>
      </x:c>
    </x:row>
    <x:row r="82">
      <x:c r="A82" s="18" t="str">
        <x:v>P-081</x:v>
      </x:c>
      <x:c r="B82" s="18" t="str">
        <x:v>راهکار مالکان مکان و سرمایه‌گذاران</x:v>
      </x:c>
      <x:c r="C82" s="18" t="str">
        <x:v>/solutions/property-owners/</x:v>
      </x:c>
      <x:c r="D82" s="18" t="str">
        <x:v>SolutionLanding</x:v>
      </x:c>
      <x:c r="E82" s="18" t="str">
        <x:v>راهکارها</x:v>
      </x:c>
      <x:c r="F82" s="18" t="str">
        <x:v>فاز ۱</x:v>
      </x:c>
      <x:c r="G82" s="18" t="str">
        <x:v>Index فقط با پیشنهاد و شواهد متمایز</x:v>
      </x:c>
      <x:c r="H82" s="18" t="str">
        <x:v>Solution Landing</x:v>
      </x:c>
      <x:c r="I82" s="18" t="str">
        <x:v>مسیر منطقی قفل برای پیاده‌سازی؛ تغییر Production فقط با Redirect Map مصوب</x:v>
      </x:c>
    </x:row>
    <x:row r="83">
      <x:c r="A83" s="18" t="str">
        <x:v>P-082</x:v>
      </x:c>
      <x:c r="B83" s="18" t="str">
        <x:v>راهکار شرکت‌های صنعتی و B2B</x:v>
      </x:c>
      <x:c r="C83" s="18" t="str">
        <x:v>/solutions/industrial-companies/</x:v>
      </x:c>
      <x:c r="D83" s="18" t="str">
        <x:v>SolutionLanding</x:v>
      </x:c>
      <x:c r="E83" s="18" t="str">
        <x:v>راهکارها</x:v>
      </x:c>
      <x:c r="F83" s="18" t="str">
        <x:v>فاز ۱</x:v>
      </x:c>
      <x:c r="G83" s="18" t="str">
        <x:v>Index فقط با پیشنهاد و شواهد متمایز</x:v>
      </x:c>
      <x:c r="H83" s="18" t="str">
        <x:v>Solution Landing</x:v>
      </x:c>
      <x:c r="I83" s="18" t="str">
        <x:v>مسیر منطقی قفل برای پیاده‌سازی؛ تغییر Production فقط با Redirect Map مصوب</x:v>
      </x:c>
    </x:row>
    <x:row r="84">
      <x:c r="A84" s="18" t="str">
        <x:v>P-083</x:v>
      </x:c>
      <x:c r="B84" s="18" t="str">
        <x:v>راهکار حضور در نمایشگاه</x:v>
      </x:c>
      <x:c r="C84" s="18" t="str">
        <x:v>/solutions/exhibitors/</x:v>
      </x:c>
      <x:c r="D84" s="18" t="str">
        <x:v>SolutionLanding</x:v>
      </x:c>
      <x:c r="E84" s="18" t="str">
        <x:v>راهکارها</x:v>
      </x:c>
      <x:c r="F84" s="18" t="str">
        <x:v>فاز ۱</x:v>
      </x:c>
      <x:c r="G84" s="18" t="str">
        <x:v>Index فقط با پیشنهاد و شواهد متمایز</x:v>
      </x:c>
      <x:c r="H84" s="18" t="str">
        <x:v>Solution Landing</x:v>
      </x:c>
      <x:c r="I84" s="18" t="str">
        <x:v>مسیر منطقی قفل برای پیاده‌سازی؛ تغییر Production فقط با Redirect Map مصوب</x:v>
      </x:c>
    </x:row>
    <x:row r="85">
      <x:c r="A85" s="18" t="str">
        <x:v>P-084</x:v>
      </x:c>
      <x:c r="B85" s="18" t="str">
        <x:v>راهکار کسب‌وکارهای محلی و اصناف</x:v>
      </x:c>
      <x:c r="C85" s="18" t="str">
        <x:v>/solutions/local-businesses/</x:v>
      </x:c>
      <x:c r="D85" s="18" t="str">
        <x:v>SolutionLanding</x:v>
      </x:c>
      <x:c r="E85" s="18" t="str">
        <x:v>راهکارها</x:v>
      </x:c>
      <x:c r="F85" s="18" t="str">
        <x:v>فاز ۱ انتخابی</x:v>
      </x:c>
      <x:c r="G85" s="18" t="str">
        <x:v>Index فقط با پیشنهاد و شواهد متمایز</x:v>
      </x:c>
      <x:c r="H85" s="18" t="str">
        <x:v>Solution Landing</x:v>
      </x:c>
      <x:c r="I85" s="18" t="str">
        <x:v>مسیر منطقی قفل برای پیاده‌سازی؛ تغییر Production فقط با Redirect Map مصوب</x:v>
      </x:c>
    </x:row>
    <x:row r="86">
      <x:c r="A86" s="18" t="str">
        <x:v>P-085</x:v>
      </x:c>
      <x:c r="B86" s="18" t="str">
        <x:v>راهکار آژانس‌ها و همکاری White-label</x:v>
      </x:c>
      <x:c r="C86" s="18" t="str">
        <x:v>/solutions/agencies/</x:v>
      </x:c>
      <x:c r="D86" s="18" t="str">
        <x:v>SolutionLanding</x:v>
      </x:c>
      <x:c r="E86" s="18" t="str">
        <x:v>راهکارها</x:v>
      </x:c>
      <x:c r="F86" s="18" t="str">
        <x:v>فاز ۲</x:v>
      </x:c>
      <x:c r="G86" s="18" t="str">
        <x:v>Index فقط با پیشنهاد و شواهد متمایز</x:v>
      </x:c>
      <x:c r="H86" s="18" t="str">
        <x:v>Solution Landing</x:v>
      </x:c>
      <x:c r="I86" s="18" t="str">
        <x:v>مسیر منطقی قفل برای پیاده‌سازی؛ تغییر Production فقط با Redirect Map مصوب</x:v>
      </x:c>
    </x:row>
    <x:row r="87">
      <x:c r="A87" s="18" t="str">
        <x:v>P-086</x:v>
      </x:c>
      <x:c r="B87" s="18" t="str">
        <x:v>پروژه‌های سرمایه‌گذاری و بهره‌برداری</x:v>
      </x:c>
      <x:c r="C87" s="18" t="str">
        <x:v>/projects/investment-operation/</x:v>
      </x:c>
      <x:c r="D87" s="18" t="str">
        <x:v>ProjectArchive</x:v>
      </x:c>
      <x:c r="E87" s="18" t="str">
        <x:v>پروژه‌ها</x:v>
      </x:c>
      <x:c r="F87" s="18" t="str">
        <x:v>فاز ۱</x:v>
      </x:c>
      <x:c r="G87" s="18" t="str">
        <x:v>Index پس از وجود چند پروژه</x:v>
      </x:c>
      <x:c r="H87" s="18" t="str">
        <x:v>Project Taxonomy</x:v>
      </x:c>
      <x:c r="I87" s="18" t="str">
        <x:v>مسیر منطقی قفل برای پیاده‌سازی؛ تغییر Production فقط با Redirect Map مصوب</x:v>
      </x:c>
    </x:row>
    <x:row r="88">
      <x:c r="A88" s="18" t="str">
        <x:v>P-087</x:v>
      </x:c>
      <x:c r="B88" s="18" t="str">
        <x:v>پروژه‌های یکپارچه نمایشگاهی</x:v>
      </x:c>
      <x:c r="C88" s="18" t="str">
        <x:v>/projects/exhibition/</x:v>
      </x:c>
      <x:c r="D88" s="18" t="str">
        <x:v>ProjectArchive</x:v>
      </x:c>
      <x:c r="E88" s="18" t="str">
        <x:v>پروژه‌ها</x:v>
      </x:c>
      <x:c r="F88" s="18" t="str">
        <x:v>فاز ۱</x:v>
      </x:c>
      <x:c r="G88" s="18" t="str">
        <x:v>Index پس از وجود چند پروژه</x:v>
      </x:c>
      <x:c r="H88" s="18" t="str">
        <x:v>Project Taxonomy</x:v>
      </x:c>
      <x:c r="I88" s="18" t="str">
        <x:v>مسیر منطقی قفل برای پیاده‌سازی؛ تغییر Production فقط با Redirect Map مصوب</x:v>
      </x:c>
    </x:row>
    <x:row r="89">
      <x:c r="A89" s="18" t="str">
        <x:v>P-088</x:v>
      </x:c>
      <x:c r="B89" s="18" t="str">
        <x:v>پروژه‌های یکپارچه طراحی، چاپ و تأمین اقلام</x:v>
      </x:c>
      <x:c r="C89" s="18" t="str">
        <x:v>/projects/integrated-production/</x:v>
      </x:c>
      <x:c r="D89" s="18" t="str">
        <x:v>ProjectArchive</x:v>
      </x:c>
      <x:c r="E89" s="18" t="str">
        <x:v>پروژه‌ها</x:v>
      </x:c>
      <x:c r="F89" s="18" t="str">
        <x:v>فاز ۱</x:v>
      </x:c>
      <x:c r="G89" s="18" t="str">
        <x:v>Index پس از وجود چند پروژه</x:v>
      </x:c>
      <x:c r="H89" s="18" t="str">
        <x:v>Project Taxonomy</x:v>
      </x:c>
      <x:c r="I89" s="18" t="str">
        <x:v>مسیر منطقی قفل برای پیاده‌سازی؛ تغییر Production فقط با Redirect Map مصوب</x:v>
      </x:c>
    </x:row>
    <x:row r="90">
      <x:c r="A90" s="18" t="str">
        <x:v>P-089</x:v>
      </x:c>
      <x:c r="B90" s="18" t="str">
        <x:v>پورتفولیو بر اساس خدمت</x:v>
      </x:c>
      <x:c r="C90" s="18" t="str">
        <x:v>/portfolio/service/</x:v>
      </x:c>
      <x:c r="D90" s="18" t="str">
        <x:v>PortfolioTaxonomy</x:v>
      </x:c>
      <x:c r="E90" s="18" t="str">
        <x:v>پورتفولیو</x:v>
      </x:c>
      <x:c r="F90" s="18" t="str">
        <x:v>فاز ۱</x:v>
      </x:c>
      <x:c r="G90" s="18" t="str">
        <x:v>پیش‌فرض Noindex؛ Index پس از Quality Gate</x:v>
      </x:c>
      <x:c r="H90" s="18" t="str">
        <x:v>Portfolio Listing</x:v>
      </x:c>
      <x:c r="I90" s="18" t="str">
        <x:v>مسیر منطقی قفل برای پیاده‌سازی؛ تغییر Production فقط با Redirect Map مصوب</x:v>
      </x:c>
    </x:row>
    <x:row r="91">
      <x:c r="A91" s="18" t="str">
        <x:v>P-090</x:v>
      </x:c>
      <x:c r="B91" s="18" t="str">
        <x:v>پورتفولیو بر اساس محصول</x:v>
      </x:c>
      <x:c r="C91" s="18" t="str">
        <x:v>/portfolio/product/</x:v>
      </x:c>
      <x:c r="D91" s="18" t="str">
        <x:v>PortfolioTaxonomy</x:v>
      </x:c>
      <x:c r="E91" s="18" t="str">
        <x:v>پورتفولیو</x:v>
      </x:c>
      <x:c r="F91" s="18" t="str">
        <x:v>فاز ۱</x:v>
      </x:c>
      <x:c r="G91" s="18" t="str">
        <x:v>پیش‌فرض Noindex؛ Index پس از Quality Gate</x:v>
      </x:c>
      <x:c r="H91" s="18" t="str">
        <x:v>Portfolio Listing</x:v>
      </x:c>
      <x:c r="I91" s="18" t="str">
        <x:v>مسیر منطقی قفل برای پیاده‌سازی؛ تغییر Production فقط با Redirect Map مصوب</x:v>
      </x:c>
    </x:row>
    <x:row r="92">
      <x:c r="A92" s="18" t="str">
        <x:v>P-091</x:v>
      </x:c>
      <x:c r="B92" s="18" t="str">
        <x:v>پورتفولیو بر اساس هاب</x:v>
      </x:c>
      <x:c r="C92" s="18" t="str">
        <x:v>/portfolio/hub/</x:v>
      </x:c>
      <x:c r="D92" s="18" t="str">
        <x:v>PortfolioTaxonomy</x:v>
      </x:c>
      <x:c r="E92" s="18" t="str">
        <x:v>پورتفولیو</x:v>
      </x:c>
      <x:c r="F92" s="18" t="str">
        <x:v>فاز ۱</x:v>
      </x:c>
      <x:c r="G92" s="18" t="str">
        <x:v>پیش‌فرض Noindex؛ Index پس از Quality Gate</x:v>
      </x:c>
      <x:c r="H92" s="18" t="str">
        <x:v>Portfolio Listing</x:v>
      </x:c>
      <x:c r="I92" s="18" t="str">
        <x:v>مسیر منطقی قفل برای پیاده‌سازی؛ تغییر Production فقط با Redirect Map مصوب</x:v>
      </x:c>
    </x:row>
    <x:row r="93">
      <x:c r="A93" s="18" t="str">
        <x:v>P-092</x:v>
      </x:c>
      <x:c r="B93" s="18" t="str">
        <x:v>پورتفولیو بر اساس صنعت</x:v>
      </x:c>
      <x:c r="C93" s="18" t="str">
        <x:v>/portfolio/industry/</x:v>
      </x:c>
      <x:c r="D93" s="18" t="str">
        <x:v>PortfolioTaxonomy</x:v>
      </x:c>
      <x:c r="E93" s="18" t="str">
        <x:v>پورتفولیو</x:v>
      </x:c>
      <x:c r="F93" s="18" t="str">
        <x:v>فاز ۱</x:v>
      </x:c>
      <x:c r="G93" s="18" t="str">
        <x:v>پیش‌فرض Noindex؛ Index پس از Quality Gate</x:v>
      </x:c>
      <x:c r="H93" s="18" t="str">
        <x:v>Portfolio Listing</x:v>
      </x:c>
      <x:c r="I93" s="18" t="str">
        <x:v>مسیر منطقی قفل برای پیاده‌سازی؛ تغییر Production فقط با Redirect Map مصوب</x:v>
      </x:c>
    </x:row>
    <x:row r="94">
      <x:c r="A94" s="18" t="str">
        <x:v>P-093</x:v>
      </x:c>
      <x:c r="B94" s="18" t="str">
        <x:v>پورتفولیو بر اساس شهر</x:v>
      </x:c>
      <x:c r="C94" s="18" t="str">
        <x:v>/portfolio/city/</x:v>
      </x:c>
      <x:c r="D94" s="18" t="str">
        <x:v>PortfolioTaxonomy</x:v>
      </x:c>
      <x:c r="E94" s="18" t="str">
        <x:v>پورتفولیو</x:v>
      </x:c>
      <x:c r="F94" s="18" t="str">
        <x:v>فاز ۱</x:v>
      </x:c>
      <x:c r="G94" s="18" t="str">
        <x:v>پیش‌فرض Noindex؛ Index پس از Quality Gate</x:v>
      </x:c>
      <x:c r="H94" s="18" t="str">
        <x:v>Portfolio Listing</x:v>
      </x:c>
      <x:c r="I94" s="18" t="str">
        <x:v>مسیر منطقی قفل برای پیاده‌سازی؛ تغییر Production فقط با Redirect Map مصوب</x:v>
      </x:c>
    </x:row>
    <x:row r="95">
      <x:c r="A95" s="18" t="str">
        <x:v>P-094</x:v>
      </x:c>
      <x:c r="B95" s="18" t="str">
        <x:v>پورتفولیو بر اساس نوع خروجی</x:v>
      </x:c>
      <x:c r="C95" s="18" t="str">
        <x:v>/portfolio/output/</x:v>
      </x:c>
      <x:c r="D95" s="18" t="str">
        <x:v>PortfolioTaxonomy</x:v>
      </x:c>
      <x:c r="E95" s="18" t="str">
        <x:v>پورتفولیو</x:v>
      </x:c>
      <x:c r="F95" s="18" t="str">
        <x:v>فاز ۱</x:v>
      </x:c>
      <x:c r="G95" s="18" t="str">
        <x:v>پیش‌فرض Noindex؛ Index پس از Quality Gate</x:v>
      </x:c>
      <x:c r="H95" s="18" t="str">
        <x:v>Portfolio Listing</x:v>
      </x:c>
      <x:c r="I95" s="18" t="str">
        <x:v>مسیر منطقی قفل برای پیاده‌سازی؛ تغییر Production فقط با Redirect Map مصوب</x:v>
      </x:c>
    </x:row>
    <x:row r="96">
      <x:c r="A96" s="18" t="str">
        <x:v>P-095</x:v>
      </x:c>
      <x:c r="B96" s="18" t="str">
        <x:v>زنجیره یکپارچه طراحی تا اجرا</x:v>
      </x:c>
      <x:c r="C96" s="18" t="str">
        <x:v>/capabilities/integrated-delivery/</x:v>
      </x:c>
      <x:c r="D96" s="18" t="str">
        <x:v>Capability</x:v>
      </x:c>
      <x:c r="E96" s="18" t="str">
        <x:v>توانمندی‌ها</x:v>
      </x:c>
      <x:c r="F96" s="18" t="str">
        <x:v>فاز ۱ انتخابی</x:v>
      </x:c>
      <x:c r="G96" s="18" t="str">
        <x:v>Index پس از مدرک و مسئول</x:v>
      </x:c>
      <x:c r="H96" s="18" t="str">
        <x:v>Capability Page</x:v>
      </x:c>
      <x:c r="I96" s="18" t="str">
        <x:v>مسیر منطقی قفل برای پیاده‌سازی؛ تغییر Production فقط با Redirect Map مصوب</x:v>
      </x:c>
    </x:row>
    <x:row r="97">
      <x:c r="A97" s="18" t="str">
        <x:v>P-096</x:v>
      </x:c>
      <x:c r="B97" s="18" t="str">
        <x:v>ساخت سازه‌های تبلیغاتی</x:v>
      </x:c>
      <x:c r="C97" s="18" t="str">
        <x:v>/capabilities/structure-fabrication/</x:v>
      </x:c>
      <x:c r="D97" s="18" t="str">
        <x:v>Capability</x:v>
      </x:c>
      <x:c r="E97" s="18" t="str">
        <x:v>توانمندی‌ها</x:v>
      </x:c>
      <x:c r="F97" s="18" t="str">
        <x:v>فاز ۱ انتخابی</x:v>
      </x:c>
      <x:c r="G97" s="18" t="str">
        <x:v>Index پس از مدرک و مسئول</x:v>
      </x:c>
      <x:c r="H97" s="18" t="str">
        <x:v>Capability Page</x:v>
      </x:c>
      <x:c r="I97" s="18" t="str">
        <x:v>مسیر منطقی قفل برای پیاده‌سازی؛ تغییر Production فقط با Redirect Map مصوب</x:v>
      </x:c>
    </x:row>
    <x:row r="98">
      <x:c r="A98" s="18" t="str">
        <x:v>P-097</x:v>
      </x:c>
      <x:c r="B98" s="18" t="str">
        <x:v>چاپ لارج‌فرمت و بنر</x:v>
      </x:c>
      <x:c r="C98" s="18" t="str">
        <x:v>/capabilities/large-format-printing/</x:v>
      </x:c>
      <x:c r="D98" s="18" t="str">
        <x:v>Capability</x:v>
      </x:c>
      <x:c r="E98" s="18" t="str">
        <x:v>توانمندی‌ها</x:v>
      </x:c>
      <x:c r="F98" s="18" t="str">
        <x:v>فاز ۱ انتخابی</x:v>
      </x:c>
      <x:c r="G98" s="18" t="str">
        <x:v>Index پس از مدرک و مسئول</x:v>
      </x:c>
      <x:c r="H98" s="18" t="str">
        <x:v>Capability Page</x:v>
      </x:c>
      <x:c r="I98" s="18" t="str">
        <x:v>مسیر منطقی قفل برای پیاده‌سازی؛ تغییر Production فقط با Redirect Map مصوب</x:v>
      </x:c>
    </x:row>
    <x:row r="99">
      <x:c r="A99" s="18" t="str">
        <x:v>P-098</x:v>
      </x:c>
      <x:c r="B99" s="18" t="str">
        <x:v>چاپ تکستایل و UV</x:v>
      </x:c>
      <x:c r="C99" s="18" t="str">
        <x:v>/capabilities/textile-uv-printing/</x:v>
      </x:c>
      <x:c r="D99" s="18" t="str">
        <x:v>Capability</x:v>
      </x:c>
      <x:c r="E99" s="18" t="str">
        <x:v>توانمندی‌ها</x:v>
      </x:c>
      <x:c r="F99" s="18" t="str">
        <x:v>فاز ۱ انتخابی</x:v>
      </x:c>
      <x:c r="G99" s="18" t="str">
        <x:v>Index پس از مدرک و مسئول</x:v>
      </x:c>
      <x:c r="H99" s="18" t="str">
        <x:v>Capability Page</x:v>
      </x:c>
      <x:c r="I99" s="18" t="str">
        <x:v>مسیر منطقی قفل برای پیاده‌سازی؛ تغییر Production فقط با Redirect Map مصوب</x:v>
      </x:c>
    </x:row>
    <x:row r="100">
      <x:c r="A100" s="18" t="str">
        <x:v>P-099</x:v>
      </x:c>
      <x:c r="B100" s="18" t="str">
        <x:v>طراحی و تولید گرافیک</x:v>
      </x:c>
      <x:c r="C100" s="18" t="str">
        <x:v>/capabilities/design-production/</x:v>
      </x:c>
      <x:c r="D100" s="18" t="str">
        <x:v>Capability</x:v>
      </x:c>
      <x:c r="E100" s="18" t="str">
        <x:v>توانمندی‌ها</x:v>
      </x:c>
      <x:c r="F100" s="18" t="str">
        <x:v>فاز ۱ انتخابی</x:v>
      </x:c>
      <x:c r="G100" s="18" t="str">
        <x:v>Index پس از مدرک و مسئول</x:v>
      </x:c>
      <x:c r="H100" s="18" t="str">
        <x:v>Capability Page</x:v>
      </x:c>
      <x:c r="I100" s="18" t="str">
        <x:v>مسیر منطقی قفل برای پیاده‌سازی؛ تغییر Production فقط با Redirect Map مصوب</x:v>
      </x:c>
    </x:row>
    <x:row r="101">
      <x:c r="A101" s="18" t="str">
        <x:v>P-100</x:v>
      </x:c>
      <x:c r="B101" s="18" t="str">
        <x:v>تولید محتوای ویدئویی</x:v>
      </x:c>
      <x:c r="C101" s="18" t="str">
        <x:v>/capabilities/video-production/</x:v>
      </x:c>
      <x:c r="D101" s="18" t="str">
        <x:v>Capability</x:v>
      </x:c>
      <x:c r="E101" s="18" t="str">
        <x:v>توانمندی‌ها</x:v>
      </x:c>
      <x:c r="F101" s="18" t="str">
        <x:v>فاز ۱ انتخابی</x:v>
      </x:c>
      <x:c r="G101" s="18" t="str">
        <x:v>Index پس از مدرک و مسئول</x:v>
      </x:c>
      <x:c r="H101" s="18" t="str">
        <x:v>Capability Page</x:v>
      </x:c>
      <x:c r="I101" s="18" t="str">
        <x:v>مسیر منطقی قفل برای پیاده‌سازی؛ تغییر Production فقط با Redirect Map مصوب</x:v>
      </x:c>
    </x:row>
    <x:row r="102">
      <x:c r="A102" s="18" t="str">
        <x:v>P-101</x:v>
      </x:c>
      <x:c r="B102" s="18" t="str">
        <x:v>توسعه وب و اتوماسیون</x:v>
      </x:c>
      <x:c r="C102" s="18" t="str">
        <x:v>/capabilities/web-automation/</x:v>
      </x:c>
      <x:c r="D102" s="18" t="str">
        <x:v>Capability</x:v>
      </x:c>
      <x:c r="E102" s="18" t="str">
        <x:v>توانمندی‌ها</x:v>
      </x:c>
      <x:c r="F102" s="18" t="str">
        <x:v>فاز ۱ انتخابی</x:v>
      </x:c>
      <x:c r="G102" s="18" t="str">
        <x:v>Index پس از مدرک و مسئول</x:v>
      </x:c>
      <x:c r="H102" s="18" t="str">
        <x:v>Capability Page</x:v>
      </x:c>
      <x:c r="I102" s="18" t="str">
        <x:v>مسیر منطقی قفل برای پیاده‌سازی؛ تغییر Production فقط با Redirect Map مصوب</x:v>
      </x:c>
    </x:row>
    <x:row r="103">
      <x:c r="A103" s="18" t="str">
        <x:v>P-102</x:v>
      </x:c>
      <x:c r="B103" s="18" t="str">
        <x:v>دفتر و عملیات اصفهان</x:v>
      </x:c>
      <x:c r="C103" s="18" t="str">
        <x:v>/facilities/isfahan/</x:v>
      </x:c>
      <x:c r="D103" s="18" t="str">
        <x:v>Facility</x:v>
      </x:c>
      <x:c r="E103" s="18" t="str">
        <x:v>واحدها و زیرساخت‌ها</x:v>
      </x:c>
      <x:c r="F103" s="18" t="str">
        <x:v>فاز ۱ انتخابی</x:v>
      </x:c>
      <x:c r="G103" s="18" t="str">
        <x:v>Index فقط پس از تأیید مالکیت، رابطه و شواهد</x:v>
      </x:c>
      <x:c r="H103" s="18" t="str">
        <x:v>Facility Page</x:v>
      </x:c>
      <x:c r="I103" s="18" t="str">
        <x:v>مسیر منطقی قفل برای پیاده‌سازی؛ تغییر Production فقط با Redirect Map مصوب</x:v>
      </x:c>
    </x:row>
    <x:row r="104">
      <x:c r="A104" s="18" t="str">
        <x:v>P-103</x:v>
      </x:c>
      <x:c r="B104" s="18" t="str">
        <x:v>دفتر و عملیات تهران</x:v>
      </x:c>
      <x:c r="C104" s="18" t="str">
        <x:v>/facilities/tehran/</x:v>
      </x:c>
      <x:c r="D104" s="18" t="str">
        <x:v>Facility</x:v>
      </x:c>
      <x:c r="E104" s="18" t="str">
        <x:v>واحدها و زیرساخت‌ها</x:v>
      </x:c>
      <x:c r="F104" s="18" t="str">
        <x:v>فاز ۱ انتخابی</x:v>
      </x:c>
      <x:c r="G104" s="18" t="str">
        <x:v>Index فقط پس از تأیید مالکیت، رابطه و شواهد</x:v>
      </x:c>
      <x:c r="H104" s="18" t="str">
        <x:v>Facility Page</x:v>
      </x:c>
      <x:c r="I104" s="18" t="str">
        <x:v>مسیر منطقی قفل برای پیاده‌سازی؛ تغییر Production فقط با Redirect Map مصوب</x:v>
      </x:c>
    </x:row>
    <x:row r="105">
      <x:c r="A105" s="18" t="str">
        <x:v>P-104</x:v>
      </x:c>
      <x:c r="B105" s="18" t="str">
        <x:v>کارگاه ساخت سازه تهران</x:v>
      </x:c>
      <x:c r="C105" s="18" t="str">
        <x:v>/facilities/tehran-structure-workshop/</x:v>
      </x:c>
      <x:c r="D105" s="18" t="str">
        <x:v>Facility</x:v>
      </x:c>
      <x:c r="E105" s="18" t="str">
        <x:v>واحدها و زیرساخت‌ها</x:v>
      </x:c>
      <x:c r="F105" s="18" t="str">
        <x:v>فاز ۱ انتخابی</x:v>
      </x:c>
      <x:c r="G105" s="18" t="str">
        <x:v>Index فقط پس از تأیید مالکیت، رابطه و شواهد</x:v>
      </x:c>
      <x:c r="H105" s="18" t="str">
        <x:v>Facility Page</x:v>
      </x:c>
      <x:c r="I105" s="18" t="str">
        <x:v>مسیر منطقی قفل برای پیاده‌سازی؛ تغییر Production فقط با Redirect Map مصوب</x:v>
      </x:c>
    </x:row>
    <x:row r="106">
      <x:c r="A106" s="18" t="str">
        <x:v>P-105</x:v>
      </x:c>
      <x:c r="B106" s="18" t="str">
        <x:v>واحد چاپ لارج‌فرمت اصفهان</x:v>
      </x:c>
      <x:c r="C106" s="18" t="str">
        <x:v>/facilities/isfahan-large-format-printing/</x:v>
      </x:c>
      <x:c r="D106" s="18" t="str">
        <x:v>Facility</x:v>
      </x:c>
      <x:c r="E106" s="18" t="str">
        <x:v>واحدها و زیرساخت‌ها</x:v>
      </x:c>
      <x:c r="F106" s="18" t="str">
        <x:v>فاز ۱ انتخابی</x:v>
      </x:c>
      <x:c r="G106" s="18" t="str">
        <x:v>Index فقط پس از تأیید مالکیت، رابطه و شواهد</x:v>
      </x:c>
      <x:c r="H106" s="18" t="str">
        <x:v>Facility Page</x:v>
      </x:c>
      <x:c r="I106" s="18" t="str">
        <x:v>مسیر منطقی قفل برای پیاده‌سازی؛ تغییر Production فقط با Redirect Map مصوب</x:v>
      </x:c>
    </x:row>
    <x:row r="107">
      <x:c r="A107" s="18" t="str">
        <x:v>P-106</x:v>
      </x:c>
      <x:c r="B107" s="18" t="str">
        <x:v>واحد چاپ و UV تهران</x:v>
      </x:c>
      <x:c r="C107" s="18" t="str">
        <x:v>/facilities/tehran-printing-uv/</x:v>
      </x:c>
      <x:c r="D107" s="18" t="str">
        <x:v>Facility</x:v>
      </x:c>
      <x:c r="E107" s="18" t="str">
        <x:v>واحدها و زیرساخت‌ها</x:v>
      </x:c>
      <x:c r="F107" s="18" t="str">
        <x:v>فاز ۱ انتخابی</x:v>
      </x:c>
      <x:c r="G107" s="18" t="str">
        <x:v>Index فقط پس از تأیید مالکیت، رابطه و شواهد</x:v>
      </x:c>
      <x:c r="H107" s="18" t="str">
        <x:v>Facility Page</x:v>
      </x:c>
      <x:c r="I107" s="18" t="str">
        <x:v>مسیر منطقی قفل برای پیاده‌سازی؛ تغییر Production فقط با Redirect Map مصوب</x:v>
      </x:c>
    </x:row>
    <x:row r="108">
      <x:c r="A108" s="18" t="str">
        <x:v>P-107</x:v>
      </x:c>
      <x:c r="B108" s="18" t="str">
        <x:v>تبلیغات محیطی، رسانه و سازه</x:v>
      </x:c>
      <x:c r="C108" s="18" t="str">
        <x:v>/blog/outdoor-advertising/</x:v>
      </x:c>
      <x:c r="D108" s="18" t="str">
        <x:v>ContentPillar</x:v>
      </x:c>
      <x:c r="E108" s="18" t="str">
        <x:v>دانش و مجله</x:v>
      </x:c>
      <x:c r="F108" s="18" t="str">
        <x:v>فاز ۱</x:v>
      </x:c>
      <x:c r="G108" s="18" t="str">
        <x:v>Index پس از تکمیل پیلار</x:v>
      </x:c>
      <x:c r="H108" s="18" t="str">
        <x:v>Pillar Page</x:v>
      </x:c>
      <x:c r="I108" s="18" t="str">
        <x:v>مسیر منطقی قفل برای پیاده‌سازی؛ تغییر Production فقط با Redirect Map مصوب</x:v>
      </x:c>
    </x:row>
    <x:row r="109">
      <x:c r="A109" s="18" t="str">
        <x:v>P-108</x:v>
      </x:c>
      <x:c r="B109" s="18" t="str">
        <x:v>چاپ و متریال</x:v>
      </x:c>
      <x:c r="C109" s="18" t="str">
        <x:v>/blog/printing-materials/</x:v>
      </x:c>
      <x:c r="D109" s="18" t="str">
        <x:v>ContentPillar</x:v>
      </x:c>
      <x:c r="E109" s="18" t="str">
        <x:v>دانش و مجله</x:v>
      </x:c>
      <x:c r="F109" s="18" t="str">
        <x:v>فاز ۱</x:v>
      </x:c>
      <x:c r="G109" s="18" t="str">
        <x:v>Index پس از تکمیل پیلار</x:v>
      </x:c>
      <x:c r="H109" s="18" t="str">
        <x:v>Pillar Page</x:v>
      </x:c>
      <x:c r="I109" s="18" t="str">
        <x:v>مسیر منطقی قفل برای پیاده‌سازی؛ تغییر Production فقط با Redirect Map مصوب</x:v>
      </x:c>
    </x:row>
    <x:row r="110">
      <x:c r="A110" s="18" t="str">
        <x:v>P-109</x:v>
      </x:c>
      <x:c r="B110" s="18" t="str">
        <x:v>طراحی و گرافیک</x:v>
      </x:c>
      <x:c r="C110" s="18" t="str">
        <x:v>/blog/design-graphics/</x:v>
      </x:c>
      <x:c r="D110" s="18" t="str">
        <x:v>ContentPillar</x:v>
      </x:c>
      <x:c r="E110" s="18" t="str">
        <x:v>دانش و مجله</x:v>
      </x:c>
      <x:c r="F110" s="18" t="str">
        <x:v>فاز ۱</x:v>
      </x:c>
      <x:c r="G110" s="18" t="str">
        <x:v>Index پس از تکمیل پیلار</x:v>
      </x:c>
      <x:c r="H110" s="18" t="str">
        <x:v>Pillar Page</x:v>
      </x:c>
      <x:c r="I110" s="18" t="str">
        <x:v>مسیر منطقی قفل برای پیاده‌سازی؛ تغییر Production فقط با Redirect Map مصوب</x:v>
      </x:c>
    </x:row>
    <x:row r="111">
      <x:c r="A111" s="18" t="str">
        <x:v>P-110</x:v>
      </x:c>
      <x:c r="B111" s="18" t="str">
        <x:v>وب‌سایت، سئو و اتوماسیون</x:v>
      </x:c>
      <x:c r="C111" s="18" t="str">
        <x:v>/blog/web-seo-automation/</x:v>
      </x:c>
      <x:c r="D111" s="18" t="str">
        <x:v>ContentPillar</x:v>
      </x:c>
      <x:c r="E111" s="18" t="str">
        <x:v>دانش و مجله</x:v>
      </x:c>
      <x:c r="F111" s="18" t="str">
        <x:v>فاز ۱ انتخابی/۲</x:v>
      </x:c>
      <x:c r="G111" s="18" t="str">
        <x:v>Index پس از تکمیل پیلار</x:v>
      </x:c>
      <x:c r="H111" s="18" t="str">
        <x:v>Pillar Page</x:v>
      </x:c>
      <x:c r="I111" s="18" t="str">
        <x:v>مسیر منطقی قفل برای پیاده‌سازی؛ تغییر Production فقط با Redirect Map مصوب</x:v>
      </x:c>
    </x:row>
    <x:row r="112">
      <x:c r="A112" s="18" t="str">
        <x:v>P-111</x:v>
      </x:c>
      <x:c r="B112" s="18" t="str">
        <x:v>مدیریت و تولید محتوای شبکه‌های اجتماعی</x:v>
      </x:c>
      <x:c r="C112" s="18" t="str">
        <x:v>/blog/social-media-content/</x:v>
      </x:c>
      <x:c r="D112" s="18" t="str">
        <x:v>ContentPillar</x:v>
      </x:c>
      <x:c r="E112" s="18" t="str">
        <x:v>دانش و مجله</x:v>
      </x:c>
      <x:c r="F112" s="18" t="str">
        <x:v>فاز ۱ انتخابی/۲</x:v>
      </x:c>
      <x:c r="G112" s="18" t="str">
        <x:v>Index پس از تکمیل پیلار</x:v>
      </x:c>
      <x:c r="H112" s="18" t="str">
        <x:v>Pillar Page</x:v>
      </x:c>
      <x:c r="I112" s="18" t="str">
        <x:v>مسیر منطقی قفل برای پیاده‌سازی؛ تغییر Production فقط با Redirect Map مصوب</x:v>
      </x:c>
    </x:row>
    <x:row r="113">
      <x:c r="A113" s="18" t="str">
        <x:v>P-112</x:v>
      </x:c>
      <x:c r="B113" s="18" t="str">
        <x:v>استراتژی برند، فروش و بازاریابی</x:v>
      </x:c>
      <x:c r="C113" s="18" t="str">
        <x:v>/blog/brand-sales-marketing-strategy/</x:v>
      </x:c>
      <x:c r="D113" s="18" t="str">
        <x:v>ContentPillar</x:v>
      </x:c>
      <x:c r="E113" s="18" t="str">
        <x:v>دانش و مجله</x:v>
      </x:c>
      <x:c r="F113" s="18" t="str">
        <x:v>فاز ۱ انتخابی/۲</x:v>
      </x:c>
      <x:c r="G113" s="18" t="str">
        <x:v>Index پس از تکمیل پیلار</x:v>
      </x:c>
      <x:c r="H113" s="18" t="str">
        <x:v>Pillar Page</x:v>
      </x:c>
      <x:c r="I113" s="18" t="str">
        <x:v>مسیر منطقی قفل برای پیاده‌سازی؛ تغییر Production فقط با Redirect Map مصوب</x:v>
      </x:c>
    </x:row>
    <x:row r="114">
      <x:c r="A114" s="18" t="str">
        <x:v>P-113</x:v>
      </x:c>
      <x:c r="B114" s="18" t="str">
        <x:v>فیلمبرداری و عکاسی صنعتی</x:v>
      </x:c>
      <x:c r="C114" s="18" t="str">
        <x:v>/blog/industrial-photo-video/</x:v>
      </x:c>
      <x:c r="D114" s="18" t="str">
        <x:v>ContentPillar</x:v>
      </x:c>
      <x:c r="E114" s="18" t="str">
        <x:v>دانش و مجله</x:v>
      </x:c>
      <x:c r="F114" s="18" t="str">
        <x:v>فاز ۱ انتخابی/۲</x:v>
      </x:c>
      <x:c r="G114" s="18" t="str">
        <x:v>Index پس از تکمیل پیلار</x:v>
      </x:c>
      <x:c r="H114" s="18" t="str">
        <x:v>Pillar Page</x:v>
      </x:c>
      <x:c r="I114" s="18" t="str">
        <x:v>مسیر منطقی قفل برای پیاده‌سازی؛ تغییر Production فقط با Redirect Map مصوب</x:v>
      </x:c>
    </x:row>
    <x:row r="115">
      <x:c r="A115" s="18" t="str">
        <x:v>P-114</x:v>
      </x:c>
      <x:c r="B115" s="18" t="str">
        <x:v>مشارکت و سرمایه‌گذاری شهری</x:v>
      </x:c>
      <x:c r="C115" s="18" t="str">
        <x:v>/blog/urban-investment/</x:v>
      </x:c>
      <x:c r="D115" s="18" t="str">
        <x:v>ContentPillar</x:v>
      </x:c>
      <x:c r="E115" s="18" t="str">
        <x:v>دانش و مجله</x:v>
      </x:c>
      <x:c r="F115" s="18" t="str">
        <x:v>فاز ۱</x:v>
      </x:c>
      <x:c r="G115" s="18" t="str">
        <x:v>Index پس از تکمیل پیلار</x:v>
      </x:c>
      <x:c r="H115" s="18" t="str">
        <x:v>Pillar Page</x:v>
      </x:c>
      <x:c r="I115" s="18" t="str">
        <x:v>مسیر منطقی قفل برای پیاده‌سازی؛ تغییر Production فقط با Redirect Map مصوب</x:v>
      </x:c>
    </x:row>
    <x:row r="116">
      <x:c r="A116" s="18" t="str">
        <x:v>P-115</x:v>
      </x:c>
      <x:c r="B116" s="18" t="str">
        <x:v>سبد خرید</x:v>
      </x:c>
      <x:c r="C116" s="18" t="str">
        <x:v>/cart/</x:v>
      </x:c>
      <x:c r="D116" s="18" t="str">
        <x:v>SystemPage</x:v>
      </x:c>
      <x:c r="E116" s="18" t="str">
        <x:v>محصولات</x:v>
      </x:c>
      <x:c r="F116" s="18" t="str">
        <x:v>فاز ۱</x:v>
      </x:c>
      <x:c r="G116" s="18" t="str">
        <x:v>Noindex</x:v>
      </x:c>
      <x:c r="H116" s="18" t="str">
        <x:v>Cart</x:v>
      </x:c>
      <x:c r="I116" s="18" t="str">
        <x:v>مسیر منطقی قفل برای پیاده‌سازی؛ تغییر Production فقط با Redirect Map مصوب</x:v>
      </x:c>
    </x:row>
    <x:row r="117">
      <x:c r="A117" s="18" t="str">
        <x:v>P-116</x:v>
      </x:c>
      <x:c r="B117" s="18" t="str">
        <x:v>تسویه حساب</x:v>
      </x:c>
      <x:c r="C117" s="18" t="str">
        <x:v>/checkout/</x:v>
      </x:c>
      <x:c r="D117" s="18" t="str">
        <x:v>SystemPage</x:v>
      </x:c>
      <x:c r="E117" s="18" t="str">
        <x:v>سبد خرید</x:v>
      </x:c>
      <x:c r="F117" s="18" t="str">
        <x:v>فاز ۱</x:v>
      </x:c>
      <x:c r="G117" s="18" t="str">
        <x:v>Noindex</x:v>
      </x:c>
      <x:c r="H117" s="18" t="str">
        <x:v>Checkout</x:v>
      </x:c>
      <x:c r="I117" s="18" t="str">
        <x:v>مسیر منطقی قفل برای پیاده‌سازی؛ تغییر Production فقط با Redirect Map مصوب</x:v>
      </x:c>
    </x:row>
    <x:row r="118">
      <x:c r="A118" s="18" t="str">
        <x:v>P-117</x:v>
      </x:c>
      <x:c r="B118" s="18" t="str">
        <x:v>حساب کاربری</x:v>
      </x:c>
      <x:c r="C118" s="18" t="str">
        <x:v>/account/</x:v>
      </x:c>
      <x:c r="D118" s="18" t="str">
        <x:v>SystemPage</x:v>
      </x:c>
      <x:c r="E118" s="18" t="str">
        <x:v>خانه</x:v>
      </x:c>
      <x:c r="F118" s="18" t="str">
        <x:v>فاز ۱</x:v>
      </x:c>
      <x:c r="G118" s="18" t="str">
        <x:v>Noindex</x:v>
      </x:c>
      <x:c r="H118" s="18" t="str">
        <x:v>Account</x:v>
      </x:c>
      <x:c r="I118" s="18" t="str">
        <x:v>مسیر منطقی قفل برای پیاده‌سازی؛ تغییر Production فقط با Redirect Map مصوب</x:v>
      </x:c>
    </x:row>
    <x:row r="119">
      <x:c r="A119" s="18" t="str">
        <x:v>P-118</x:v>
      </x:c>
      <x:c r="B119" s="18" t="str">
        <x:v>سفارش‌های من</x:v>
      </x:c>
      <x:c r="C119" s="18" t="str">
        <x:v>/account/orders/</x:v>
      </x:c>
      <x:c r="D119" s="18" t="str">
        <x:v>SystemPage</x:v>
      </x:c>
      <x:c r="E119" s="18" t="str">
        <x:v>حساب کاربری</x:v>
      </x:c>
      <x:c r="F119" s="18" t="str">
        <x:v>فاز ۱</x:v>
      </x:c>
      <x:c r="G119" s="18" t="str">
        <x:v>Noindex</x:v>
      </x:c>
      <x:c r="H119" s="18" t="str">
        <x:v>Orders</x:v>
      </x:c>
      <x:c r="I119" s="18" t="str">
        <x:v>مسیر منطقی قفل برای پیاده‌سازی؛ تغییر Production فقط با Redirect Map مصوب</x:v>
      </x:c>
    </x:row>
    <x:row r="120">
      <x:c r="A120" s="18" t="str">
        <x:v>P-119</x:v>
      </x:c>
      <x:c r="B120" s="18" t="str">
        <x:v>قراردادهای من</x:v>
      </x:c>
      <x:c r="C120" s="18" t="str">
        <x:v>/account/contracts/</x:v>
      </x:c>
      <x:c r="D120" s="18" t="str">
        <x:v>SystemPage</x:v>
      </x:c>
      <x:c r="E120" s="18" t="str">
        <x:v>حساب کاربری</x:v>
      </x:c>
      <x:c r="F120" s="18" t="str">
        <x:v>فاز ۱</x:v>
      </x:c>
      <x:c r="G120" s="18" t="str">
        <x:v>Noindex</x:v>
      </x:c>
      <x:c r="H120" s="18" t="str">
        <x:v>Contracts</x:v>
      </x:c>
      <x:c r="I120" s="18" t="str">
        <x:v>مسیر منطقی قفل برای پیاده‌سازی؛ تغییر Production فقط با Redirect Map مصوب</x:v>
      </x:c>
    </x:row>
    <x:row r="121">
      <x:c r="A121" s="18" t="str">
        <x:v>P-120</x:v>
      </x:c>
      <x:c r="B121" s="18" t="str">
        <x:v>پروژه‌های اجاره رسانه</x:v>
      </x:c>
      <x:c r="C121" s="18" t="str">
        <x:v>/media-rental/projects/</x:v>
      </x:c>
      <x:c r="D121" s="18" t="str">
        <x:v>FutureArchive</x:v>
      </x:c>
      <x:c r="E121" s="18" t="str">
        <x:v>اجاره رسانه و اکران</x:v>
      </x:c>
      <x:c r="F121" s="18" t="str">
        <x:v>فاز ۴</x:v>
      </x:c>
      <x:c r="G121" s="18" t="str">
        <x:v>Noindex تا موجودی کافی</x:v>
      </x:c>
      <x:c r="H121" s="18" t="str">
        <x:v>Rental Projects</x:v>
      </x:c>
      <x:c r="I121" s="18" t="str">
        <x:v>مسیر منطقی قفل برای پیاده‌سازی؛ تغییر Production فقط با Redirect Map مصوب</x:v>
      </x:c>
    </x:row>
    <x:row r="122">
      <x:c r="A122" s="18" t="str">
        <x:v>P-121</x:v>
      </x:c>
      <x:c r="B122" s="18" t="str">
        <x:v>نقشه رسانه‌ها</x:v>
      </x:c>
      <x:c r="C122" s="18" t="str">
        <x:v>/media-rental/map/</x:v>
      </x:c>
      <x:c r="D122" s="18" t="str">
        <x:v>FutureTool</x:v>
      </x:c>
      <x:c r="E122" s="18" t="str">
        <x:v>اجاره رسانه و اکران</x:v>
      </x:c>
      <x:c r="F122" s="18" t="str">
        <x:v>فاز ۴</x:v>
      </x:c>
      <x:c r="G122" s="18" t="str">
        <x:v>Noindex</x:v>
      </x:c>
      <x:c r="H122" s="18" t="str">
        <x:v>Rental Map</x:v>
      </x:c>
      <x:c r="I122" s="18" t="str">
        <x:v>مسیر منطقی قفل برای پیاده‌سازی؛ تغییر Production فقط با Redirect Map مصوب</x:v>
      </x:c>
    </x:row>
    <x:row r="123">
      <x:c r="A123" s="18" t="str">
        <x:v>P-122</x:v>
      </x:c>
      <x:c r="B123" s="18" t="str">
        <x:v>صفحه رسانه قابل اجاره</x:v>
      </x:c>
      <x:c r="C123" s="18" t="str">
        <x:v>/media-rental/{city}/{media-code}/</x:v>
      </x:c>
      <x:c r="D123" s="18" t="str">
        <x:v>FutureSingle</x:v>
      </x:c>
      <x:c r="E123" s="18" t="str">
        <x:v>اجاره رسانه و اکران</x:v>
      </x:c>
      <x:c r="F123" s="18" t="str">
        <x:v>فاز ۴</x:v>
      </x:c>
      <x:c r="G123" s="18" t="str">
        <x:v>Conditional Index</x:v>
      </x:c>
      <x:c r="H123" s="18" t="str">
        <x:v>MediaAsset Single</x:v>
      </x:c>
      <x:c r="I123" s="18" t="str">
        <x:v>مسیر منطقی قفل برای پیاده‌سازی؛ تغییر Production فقط با Redirect Map مصوب</x:v>
      </x:c>
    </x:row>
    <x:row r="124" ht="15" hidden="0" customHeight="1">
      <x:c r="A124" s="18" t="str">
        <x:v>P-123</x:v>
      </x:c>
      <x:c r="B124" s="18" t="str">
        <x:v>ویدئوها و پشت صحنه تولید</x:v>
      </x:c>
      <x:c r="C124" s="18" t="str">
        <x:v>/video/</x:v>
      </x:c>
      <x:c r="D124" s="18" t="str">
        <x:v>VideoArchive</x:v>
      </x:c>
      <x:c r="E124" s="18" t="str">
        <x:v>خانه</x:v>
      </x:c>
      <x:c r="F124" s="18" t="str">
        <x:v>فاز ۱</x:v>
      </x:c>
      <x:c r="G124" s="18" t="str">
        <x:v>Noindex تا تکمیل آرشیو مستقل</x:v>
      </x:c>
      <x:c r="H124" s="18" t="str">
        <x:v>Video Archive</x:v>
      </x:c>
      <x:c r="I124" s="18" t="str">
        <x:v>مسیر قفل؛ نباید 404 باشد</x:v>
      </x:c>
    </x:row>
    <x:row r="125" ht="15" hidden="0" customHeight="1">
      <x:c r="A125" s="18" t="str">
        <x:v>P-124</x:v>
      </x:c>
      <x:c r="B125" s="18" t="str">
        <x:v>ویدئوی ساخت لایت‌باکس</x:v>
      </x:c>
      <x:c r="C125" s="18" t="str">
        <x:v>/video/lightbox-making/</x:v>
      </x:c>
      <x:c r="D125" s="18" t="str">
        <x:v>VideoSingle</x:v>
      </x:c>
      <x:c r="E125" s="18" t="str">
        <x:v>ویدئوها و پشت صحنه تولید</x:v>
      </x:c>
      <x:c r="F125" s="18" t="str">
        <x:v>فاز ۱</x:v>
      </x:c>
      <x:c r="G125" s="18" t="str">
        <x:v>Index</x:v>
      </x:c>
      <x:c r="H125" s="18" t="str">
        <x:v>Video Single</x:v>
      </x:c>
      <x:c r="I125" s="18" t="str">
        <x:v>مسیر قفل؛ لینک مستقیم از هوم</x:v>
      </x:c>
    </x:row>
    <x:row r="126" ht="15" hidden="0" customHeight="1">
      <x:c r="A126" s="18" t="str">
        <x:v>P-125</x:v>
      </x:c>
      <x:c r="B126" s="18" t="str">
        <x:v>ویدئوی چاپ تکستایل</x:v>
      </x:c>
      <x:c r="C126" s="18" t="str">
        <x:v>/video/textile-printing/</x:v>
      </x:c>
      <x:c r="D126" s="18" t="str">
        <x:v>VideoSingle</x:v>
      </x:c>
      <x:c r="E126" s="18" t="str">
        <x:v>ویدئوها و پشت صحنه تولید</x:v>
      </x:c>
      <x:c r="F126" s="18" t="str">
        <x:v>فاز ۱</x:v>
      </x:c>
      <x:c r="G126" s="18" t="str">
        <x:v>Index</x:v>
      </x:c>
      <x:c r="H126" s="18" t="str">
        <x:v>Video Single</x:v>
      </x:c>
      <x:c r="I126" s="18" t="str">
        <x:v>مسیر قفل؛ لینک مستقیم از هوم</x:v>
      </x:c>
    </x:row>
    <x:row r="127" ht="15" hidden="0" customHeight="1">
      <x:c r="A127" s="18" t="str">
        <x:v>P-126</x:v>
      </x:c>
      <x:c r="B127" s="18" t="str">
        <x:v>پشت صحنه تولید وب‌سایت</x:v>
      </x:c>
      <x:c r="C127" s="18" t="str">
        <x:v>/video/website-behind-scenes/</x:v>
      </x:c>
      <x:c r="D127" s="18" t="str">
        <x:v>VideoSingle</x:v>
      </x:c>
      <x:c r="E127" s="18" t="str">
        <x:v>ویدئوها و پشت صحنه تولید</x:v>
      </x:c>
      <x:c r="F127" s="18" t="str">
        <x:v>فاز ۱</x:v>
      </x:c>
      <x:c r="G127" s="18" t="str">
        <x:v>Index</x:v>
      </x:c>
      <x:c r="H127" s="18" t="str">
        <x:v>Video Single</x:v>
      </x:c>
      <x:c r="I127" s="18" t="str">
        <x:v>مسیر قفل؛ لینک مستقیم از هوم</x:v>
      </x:c>
    </x:row>
    <x:row r="128" ht="15" hidden="0" customHeight="1">
      <x:c r="A128" s="18" t="str">
        <x:v>P-127</x:v>
      </x:c>
      <x:c r="B128" s="18" t="str">
        <x:v>مجوزها و مدارک</x:v>
      </x:c>
      <x:c r="C128" s="18" t="str">
        <x:v>/credentials/</x:v>
      </x:c>
      <x:c r="D128" s="18" t="str">
        <x:v>TrustPage</x:v>
      </x:c>
      <x:c r="E128" s="18" t="str">
        <x:v>درباره ما</x:v>
      </x:c>
      <x:c r="F128" s="18" t="str">
        <x:v>فاز ۱</x:v>
      </x:c>
      <x:c r="G128" s="18" t="str">
        <x:v>Index</x:v>
      </x:c>
      <x:c r="H128" s="18" t="str">
        <x:v>Credentials</x:v>
      </x:c>
      <x:c r="I128" s="18" t="str">
        <x:v>مدارک واقعی و قابل راستی‌آزمایی</x:v>
      </x:c>
    </x:row>
    <x:row r="129" ht="15" hidden="0" customHeight="1">
      <x:c r="A129" s="18" t="str">
        <x:v>P-128</x:v>
      </x:c>
      <x:c r="B129" s="18" t="str">
        <x:v>جلسه تشخیص و مشاوره</x:v>
      </x:c>
      <x:c r="C129" s="18" t="str">
        <x:v>/consulting/</x:v>
      </x:c>
      <x:c r="D129" s="18" t="str">
        <x:v>LeadGenerationLanding</x:v>
      </x:c>
      <x:c r="E129" s="18" t="str">
        <x:v>خدمات</x:v>
      </x:c>
      <x:c r="F129" s="18" t="str">
        <x:v>فاز ۱</x:v>
      </x:c>
      <x:c r="G129" s="18" t="str">
        <x:v>Index</x:v>
      </x:c>
      <x:c r="H129" s="18" t="str">
        <x:v>Diagnostic Consultation</x:v>
      </x:c>
      <x:c r="I129" s="18" t="str">
        <x:v>ورود مسئله‌محور پیش از انتخاب خدمت</x:v>
      </x:c>
    </x:row>
    <x:row r="130" ht="15" hidden="0" customHeight="1">
      <x:c r="A130" s="18" t="str">
        <x:v>P-129</x:v>
      </x:c>
      <x:c r="B130" s="18" t="str">
        <x:v>پرسش‌های متداول</x:v>
      </x:c>
      <x:c r="C130" s="18" t="str">
        <x:v>/faq/</x:v>
      </x:c>
      <x:c r="D130" s="18" t="str">
        <x:v>UtilityPage</x:v>
      </x:c>
      <x:c r="E130" s="18" t="str">
        <x:v>خانه</x:v>
      </x:c>
      <x:c r="F130" s="18" t="str">
        <x:v>فاز ۱</x:v>
      </x:c>
      <x:c r="G130" s="18" t="str">
        <x:v>Noindex</x:v>
      </x:c>
      <x:c r="H130" s="18" t="str">
        <x:v>FAQ</x:v>
      </x:c>
      <x:c r="I130" s="18" t="str">
        <x:v>صفحه کاربردی سراسری</x:v>
      </x:c>
    </x:row>
    <x:row r="131" ht="15" hidden="0" customHeight="1">
      <x:c r="A131" s="18" t="str">
        <x:v>P-130</x:v>
      </x:c>
      <x:c r="B131" s="18" t="str">
        <x:v>حریم خصوصی</x:v>
      </x:c>
      <x:c r="C131" s="18" t="str">
        <x:v>/privacy/</x:v>
      </x:c>
      <x:c r="D131" s="18" t="str">
        <x:v>LegalPage</x:v>
      </x:c>
      <x:c r="E131" s="18" t="str">
        <x:v>خانه</x:v>
      </x:c>
      <x:c r="F131" s="18" t="str">
        <x:v>فاز ۱</x:v>
      </x:c>
      <x:c r="G131" s="18" t="str">
        <x:v>Noindex</x:v>
      </x:c>
      <x:c r="H131" s="18" t="str">
        <x:v>Legal</x:v>
      </x:c>
      <x:c r="I131" s="18" t="str">
        <x:v>صفحه حقوقی الزامی</x:v>
      </x:c>
    </x:row>
    <x:row r="132" ht="15" hidden="0" customHeight="1">
      <x:c r="A132" s="18" t="str">
        <x:v>P-131</x:v>
      </x:c>
      <x:c r="B132" s="18" t="str">
        <x:v>قوانین و مقررات</x:v>
      </x:c>
      <x:c r="C132" s="18" t="str">
        <x:v>/terms/</x:v>
      </x:c>
      <x:c r="D132" s="18" t="str">
        <x:v>LegalPage</x:v>
      </x:c>
      <x:c r="E132" s="18" t="str">
        <x:v>خانه</x:v>
      </x:c>
      <x:c r="F132" s="18" t="str">
        <x:v>فاز ۱</x:v>
      </x:c>
      <x:c r="G132" s="18" t="str">
        <x:v>Noindex</x:v>
      </x:c>
      <x:c r="H132" s="18" t="str">
        <x:v>Legal</x:v>
      </x:c>
      <x:c r="I132" s="18" t="str">
        <x:v>صفحه حقوقی الزامی</x:v>
      </x:c>
    </x:row>
    <x:row r="133" ht="15" hidden="0" customHeight="1">
      <x:c r="A133" s="18" t="str">
        <x:v>P-132</x:v>
      </x:c>
      <x:c r="B133" s="18" t="str">
        <x:v>طراحی اقلام و ارتباطات برند</x:v>
      </x:c>
      <x:c r="C133" s="18" t="str">
        <x:v>/services/brand-collateral-design/</x:v>
      </x:c>
      <x:c r="D133" s="18" t="str">
        <x:v>ServiceHub</x:v>
      </x:c>
      <x:c r="E133" s="18" t="str">
        <x:v>طراحی و گرافیک</x:v>
      </x:c>
      <x:c r="F133" s="18" t="str">
        <x:v>فاز ۱</x:v>
      </x:c>
      <x:c r="G133" s="18" t="str">
        <x:v>Index</x:v>
      </x:c>
      <x:c r="H133" s="18" t="str">
        <x:v>Service Hub</x:v>
      </x:c>
      <x:c r="I133" s="18" t="str">
        <x:v>هاب قفل‌شده؛ لینک مگامنو</x:v>
      </x:c>
    </x:row>
    <x:row r="134" ht="15" hidden="0" customHeight="1">
      <x:c r="A134" s="18" t="str">
        <x:v>P-133</x:v>
      </x:c>
      <x:c r="B134" s="18" t="str">
        <x:v>راهنمای انتخاب خدمت تبلیغاتی</x:v>
      </x:c>
      <x:c r="C134" s="18" t="str">
        <x:v>/blog/how-to-choose-advertising-service/</x:v>
      </x:c>
      <x:c r="D134" s="18" t="str">
        <x:v>Article</x:v>
      </x:c>
      <x:c r="E134" s="18" t="str">
        <x:v>دانش و مجله</x:v>
      </x:c>
      <x:c r="F134" s="18" t="str">
        <x:v>فاز ۱</x:v>
      </x:c>
      <x:c r="G134" s="18" t="str">
        <x:v>Index</x:v>
      </x:c>
      <x:c r="H134" s="18" t="str">
        <x:v>Article</x:v>
      </x:c>
      <x:c r="I134" s="18" t="str">
        <x:v>محتوای تصمیم‌یار لینک‌شده از هوم</x:v>
      </x:c>
    </x:row>
    <x:row r="135" ht="26.399999618530273" hidden="0" customHeight="1">
      <x:c r="A135" s="18" t="str">
        <x:v>P-134</x:v>
      </x:c>
      <x:c r="B135" s="18" t="str">
        <x:v>راهنمای بازگشت سرمایه سازه و بیلبورد</x:v>
      </x:c>
      <x:c r="C135" s="18" t="str">
        <x:v>/blog/billboard-investment-roi/</x:v>
      </x:c>
      <x:c r="D135" s="18" t="str">
        <x:v>Article</x:v>
      </x:c>
      <x:c r="E135" s="18" t="str">
        <x:v>مشارکت و سرمایه‌گذاری شهری</x:v>
      </x:c>
      <x:c r="F135" s="18" t="str">
        <x:v>فاز ۱</x:v>
      </x:c>
      <x:c r="G135" s="18" t="str">
        <x:v>Index</x:v>
      </x:c>
      <x:c r="H135" s="18" t="str">
        <x:v>Article</x:v>
      </x:c>
      <x:c r="I135" s="18" t="str">
        <x:v>بدون وعده ROI قطعی</x:v>
      </x:c>
    </x:row>
    <x:row r="136" ht="15" hidden="0" customHeight="1">
      <x:c r="A136" s="18" t="str">
        <x:v>P-135</x:v>
      </x:c>
      <x:c r="B136" s="18" t="str">
        <x:v>سایت شرکتی و تولید سرنخ</x:v>
      </x:c>
      <x:c r="C136" s="18" t="str">
        <x:v>/blog/website-lead-generation/</x:v>
      </x:c>
      <x:c r="D136" s="18" t="str">
        <x:v>Article</x:v>
      </x:c>
      <x:c r="E136" s="18" t="str">
        <x:v>وب‌سایت، سئو و اتوماسیون</x:v>
      </x:c>
      <x:c r="F136" s="18" t="str">
        <x:v>فاز ۱</x:v>
      </x:c>
      <x:c r="G136" s="18" t="str">
        <x:v>Index</x:v>
      </x:c>
      <x:c r="H136" s="18" t="str">
        <x:v>Article</x:v>
      </x:c>
      <x:c r="I136" s="18" t="str">
        <x:v>مقاله کارت مجله هوم</x:v>
      </x:c>
    </x:row>
    <x:row r="137" ht="15" hidden="0" customHeight="1">
      <x:c r="A137" s="18" t="str">
        <x:v>P-136</x:v>
      </x:c>
      <x:c r="B137" s="18" t="str">
        <x:v>چک‌لیست آمادگی نمایشگاه</x:v>
      </x:c>
      <x:c r="C137" s="18" t="str">
        <x:v>/blog/exhibition-checklist/</x:v>
      </x:c>
      <x:c r="D137" s="18" t="str">
        <x:v>Article</x:v>
      </x:c>
      <x:c r="E137" s="18" t="str">
        <x:v>دانش و مجله</x:v>
      </x:c>
      <x:c r="F137" s="18" t="str">
        <x:v>فاز ۱</x:v>
      </x:c>
      <x:c r="G137" s="18" t="str">
        <x:v>Index</x:v>
      </x:c>
      <x:c r="H137" s="18" t="str">
        <x:v>Article</x:v>
      </x:c>
      <x:c r="I137" s="18" t="str">
        <x:v>مقاله کارت مجله هوم</x:v>
      </x:c>
    </x:row>
    <x:row r="138" ht="15" hidden="0" customHeight="1">
      <x:c r="A138" s="18" t="str">
        <x:v>P-137</x:v>
      </x:c>
      <x:c r="B138" s="18" t="str">
        <x:v>راهنمای چاپ تکستایل برای لایت‌باکس</x:v>
      </x:c>
      <x:c r="C138" s="18" t="str">
        <x:v>/blog/lightbox-textile-guide/</x:v>
      </x:c>
      <x:c r="D138" s="18" t="str">
        <x:v>Article</x:v>
      </x:c>
      <x:c r="E138" s="18" t="str">
        <x:v>چاپ و متریال</x:v>
      </x:c>
      <x:c r="F138" s="18" t="str">
        <x:v>فاز ۱</x:v>
      </x:c>
      <x:c r="G138" s="18" t="str">
        <x:v>Index</x:v>
      </x:c>
      <x:c r="H138" s="18" t="str">
        <x:v>Article</x:v>
      </x:c>
      <x:c r="I138" s="18" t="str">
        <x:v>مقاله کارت مجله هوم</x:v>
      </x:c>
    </x:row>
    <x:row r="139" ht="15" hidden="0" customHeight="1">
      <x:c r="A139" s="18" t="str">
        <x:v>P-138</x:v>
      </x:c>
      <x:c r="B139" s="18" t="str">
        <x:v>راهنمای کاتالوگ فروش</x:v>
      </x:c>
      <x:c r="C139" s="18" t="str">
        <x:v>/blog/catalog-sales-guide/</x:v>
      </x:c>
      <x:c r="D139" s="18" t="str">
        <x:v>Article</x:v>
      </x:c>
      <x:c r="E139" s="18" t="str">
        <x:v>طراحی و گرافیک</x:v>
      </x:c>
      <x:c r="F139" s="18" t="str">
        <x:v>فاز ۱</x:v>
      </x:c>
      <x:c r="G139" s="18" t="str">
        <x:v>Index</x:v>
      </x:c>
      <x:c r="H139" s="18" t="str">
        <x:v>Article</x:v>
      </x:c>
      <x:c r="I139" s="18" t="str">
        <x:v>مقاله کارت مجله هوم</x:v>
      </x:c>
    </x:row>
    <x:row r="140" ht="15" hidden="0" customHeight="1">
      <x:c r="A140" s="18" t="str">
        <x:v>P-139</x:v>
      </x:c>
      <x:c r="B140" s="18" t="str">
        <x:v>آرشیو تبلیغات نمایشگاهی</x:v>
      </x:c>
      <x:c r="C140" s="18" t="str">
        <x:v>/blog/category/exhibition-advertising/</x:v>
      </x:c>
      <x:c r="D140" s="18" t="str">
        <x:v>TaxonomyArchive</x:v>
      </x:c>
      <x:c r="E140" s="18" t="str">
        <x:v>دانش و مجله</x:v>
      </x:c>
      <x:c r="F140" s="18" t="str">
        <x:v>فاز ۱</x:v>
      </x:c>
      <x:c r="G140" s="18" t="str">
        <x:v>Noindex تا Content Gate</x:v>
      </x:c>
      <x:c r="H140" s="18" t="str">
        <x:v>Taxonomy Archive</x:v>
      </x:c>
      <x:c r="I140" s="18" t="str">
        <x:v>مسیر باید موجود باشد؛ Index مشروط</x:v>
      </x:c>
    </x:row>
  </x:sheetData>
  <x:conditionalFormatting sqref="F2:F123">
    <x:cfRule type="expression" dxfId="0" priority="1">
      <x:formula>ISNUMBER(SEARCH("فاز ۴",F2))</x:formula>
    </x:cfRule>
  </x:conditionalFormatting>
  <x:conditionalFormatting sqref="G2:G123">
    <x:cfRule type="expression" dxfId="1" priority="2">
      <x:formula>ISNUMBER(SEARCH("Noindex",G2))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4" hidden="0" customWidth="1"/>
    <x:col min="3" max="3" width="22" hidden="0" customWidth="1"/>
    <x:col min="4" max="4" width="4" hidden="0" customWidth="1"/>
    <x:col min="5" max="5" width="22" hidden="0" customWidth="1"/>
    <x:col min="6" max="6" width="22" hidden="0" customWidth="1"/>
    <x:col min="7" max="7" width="28" hidden="0" customWidth="1"/>
    <x:col min="8" max="8" width="55" hidden="0" customWidth="1"/>
  </x:cols>
  <x:sheetData>
    <x:row r="1">
      <x:c r="A1" s="23" t="str">
        <x:v>موجودیت</x:v>
      </x:c>
      <x:c r="B1" s="23" t="str">
        <x:v>تعریف</x:v>
      </x:c>
      <x:c r="C1" s="23" t="str">
        <x:v>فاز/مالک</x:v>
      </x:c>
      <x:c r="E1" s="23" t="str">
        <x:v>از</x:v>
      </x:c>
      <x:c r="F1" s="23" t="str">
        <x:v>رابطه</x:v>
      </x:c>
      <x:c r="G1" s="23" t="str">
        <x:v>به</x:v>
      </x:c>
      <x:c r="H1" s="23" t="str">
        <x:v>توضیح اجرایی</x:v>
      </x:c>
    </x:row>
    <x:row r="2">
      <x:c r="A2" s="18" t="str">
        <x:v>Organization</x:v>
      </x:c>
      <x:c r="B2" s="18" t="str">
        <x:v>هویت واحد برند، اطلاعات حقوقی، آدرس و تماس</x:v>
      </x:c>
      <x:c r="C2" s="18" t="str">
        <x:v>فاز ۱ Content</x:v>
      </x:c>
      <x:c r="E2" s="18" t="str">
        <x:v>Service</x:v>
      </x:c>
      <x:c r="F2" s="18" t="str">
        <x:v>enabled_by</x:v>
      </x:c>
      <x:c r="G2" s="18" t="str">
        <x:v>Capability</x:v>
      </x:c>
      <x:c r="H2" s="18" t="str">
        <x:v>رابطه تایپ‌شده در cg_entity_relations یا Adapter اختصاصی</x:v>
      </x:c>
    </x:row>
    <x:row r="3">
      <x:c r="A3" s="18" t="str">
        <x:v>Facility</x:v>
      </x:c>
      <x:c r="B3" s="18" t="str">
        <x:v>دفتر، کارگاه، چاپخانه یا واحد عملیاتی</x:v>
      </x:c>
      <x:c r="C3" s="18" t="str">
        <x:v>فاز ۱ Content</x:v>
      </x:c>
      <x:c r="E3" s="18" t="str">
        <x:v>Capability</x:v>
      </x:c>
      <x:c r="F3" s="18" t="str">
        <x:v>backed_by</x:v>
      </x:c>
      <x:c r="G3" s="18" t="str">
        <x:v>Facility/Equipment/Experience</x:v>
      </x:c>
      <x:c r="H3" s="18" t="str">
        <x:v>رابطه تایپ‌شده در cg_entity_relations یا Adapter اختصاصی</x:v>
      </x:c>
    </x:row>
    <x:row r="4">
      <x:c r="A4" s="18" t="str">
        <x:v>Capability</x:v>
      </x:c>
      <x:c r="B4" s="18" t="str">
        <x:v>توانمندی اثبات‌شده و متصل به دارایی/مسئول/مدرک</x:v>
      </x:c>
      <x:c r="C4" s="18" t="str">
        <x:v>فاز ۱ Content</x:v>
      </x:c>
      <x:c r="E4" s="18" t="str">
        <x:v>Service</x:v>
      </x:c>
      <x:c r="F4" s="18" t="str">
        <x:v>related_product</x:v>
      </x:c>
      <x:c r="G4" s="18" t="str">
        <x:v>Product</x:v>
      </x:c>
      <x:c r="H4" s="18" t="str">
        <x:v>رابطه تایپ‌شده در cg_entity_relations یا Adapter اختصاصی</x:v>
      </x:c>
    </x:row>
    <x:row r="5">
      <x:c r="A5" s="18" t="str">
        <x:v>Service</x:v>
      </x:c>
      <x:c r="B5" s="18" t="str">
        <x:v>کار قابل سفارش با فرایند، خروجی و CTA</x:v>
      </x:c>
      <x:c r="C5" s="18" t="str">
        <x:v>فاز ۱ Content</x:v>
      </x:c>
      <x:c r="E5" s="18" t="str">
        <x:v>Product</x:v>
      </x:c>
      <x:c r="F5" s="18" t="str">
        <x:v>has_variant</x:v>
      </x:c>
      <x:c r="G5" s="18" t="str">
        <x:v>ProductVariant</x:v>
      </x:c>
      <x:c r="H5" s="18" t="str">
        <x:v>رابطه تایپ‌شده در cg_entity_relations یا Adapter اختصاصی</x:v>
      </x:c>
    </x:row>
    <x:row r="6">
      <x:c r="A6" s="18" t="str">
        <x:v>Product</x:v>
      </x:c>
      <x:c r="B6" s="18" t="str">
        <x:v>کالای سازه‌ای یا محصول استاندارد</x:v>
      </x:c>
      <x:c r="C6" s="18" t="str">
        <x:v>فاز ۱ Content</x:v>
      </x:c>
      <x:c r="E6" s="18" t="str">
        <x:v>MediaAsset</x:v>
      </x:c>
      <x:c r="F6" s="18" t="str">
        <x:v>instance_of</x:v>
      </x:c>
      <x:c r="G6" s="18" t="str">
        <x:v>Product</x:v>
      </x:c>
      <x:c r="H6" s="18" t="str">
        <x:v>توسط افزونه اجاره در فاز ۴ ثبت می‌شود؛ ساختار پایه تغییر نمی‌کند</x:v>
      </x:c>
    </x:row>
    <x:row r="7">
      <x:c r="A7" s="18" t="str">
        <x:v>ProductVariant</x:v>
      </x:c>
      <x:c r="B7" s="18" t="str">
        <x:v>ابعاد، جهت، وجه، متریال، نور و سایر ترکیب‌ها</x:v>
      </x:c>
      <x:c r="C7" s="18" t="str">
        <x:v>فاز ۱ Content</x:v>
      </x:c>
      <x:c r="E7" s="18" t="str">
        <x:v>MediaAsset</x:v>
      </x:c>
      <x:c r="F7" s="18" t="str">
        <x:v>located_in</x:v>
      </x:c>
      <x:c r="G7" s="18" t="str">
        <x:v>Place</x:v>
      </x:c>
      <x:c r="H7" s="18" t="str">
        <x:v>توسط افزونه اجاره در فاز ۴ ثبت می‌شود؛ ساختار پایه تغییر نمی‌کند</x:v>
      </x:c>
    </x:row>
    <x:row r="8">
      <x:c r="A8" s="18" t="str">
        <x:v>MediaAsset</x:v>
      </x:c>
      <x:c r="B8" s="18" t="str">
        <x:v>نمونه نصب‌شده و قابل اجاره از یک Product در یک Place</x:v>
      </x:c>
      <x:c r="C8" s="18" t="str">
        <x:v>فاز ۴</x:v>
      </x:c>
      <x:c r="E8" s="18" t="str">
        <x:v>Project</x:v>
      </x:c>
      <x:c r="F8" s="18" t="str">
        <x:v>contains</x:v>
      </x:c>
      <x:c r="G8" s="18" t="str">
        <x:v>Portfolio</x:v>
      </x:c>
      <x:c r="H8" s="18" t="str">
        <x:v>رابطه تایپ‌شده در cg_entity_relations یا Adapter اختصاصی</x:v>
      </x:c>
    </x:row>
    <x:row r="9">
      <x:c r="A9" s="18" t="str">
        <x:v>Portfolio</x:v>
      </x:c>
      <x:c r="B9" s="18" t="str">
        <x:v>خروجی مستقل قابل مشاهده و اثبات</x:v>
      </x:c>
      <x:c r="C9" s="18" t="str">
        <x:v>فاز ۱ Content</x:v>
      </x:c>
      <x:c r="E9" s="18" t="str">
        <x:v>Project</x:v>
      </x:c>
      <x:c r="F9" s="18" t="str">
        <x:v>uses</x:v>
      </x:c>
      <x:c r="G9" s="18" t="str">
        <x:v>Service/Product/MediaAsset</x:v>
      </x:c>
      <x:c r="H9" s="18" t="str">
        <x:v>رابطه تایپ‌شده در cg_entity_relations یا Adapter اختصاصی</x:v>
      </x:c>
    </x:row>
    <x:row r="10">
      <x:c r="A10" s="18" t="str">
        <x:v>Project</x:v>
      </x:c>
      <x:c r="B10" s="18" t="str">
        <x:v>کار چندوجهی شامل چند خدمت، محصول یا Portfolio</x:v>
      </x:c>
      <x:c r="C10" s="18" t="str">
        <x:v>فاز ۱ Content</x:v>
      </x:c>
      <x:c r="E10" s="18" t="str">
        <x:v>Portfolio</x:v>
      </x:c>
      <x:c r="F10" s="18" t="str">
        <x:v>demonstrates</x:v>
      </x:c>
      <x:c r="G10" s="18" t="str">
        <x:v>Service/Product</x:v>
      </x:c>
      <x:c r="H10" s="18" t="str">
        <x:v>رابطه تایپ‌شده در cg_entity_relations یا Adapter اختصاصی</x:v>
      </x:c>
    </x:row>
    <x:row r="11">
      <x:c r="A11" s="18" t="str">
        <x:v>Persona</x:v>
      </x:c>
      <x:c r="B11" s="18" t="str">
        <x:v>نقش خریدار یا تصمیم‌گیر</x:v>
      </x:c>
      <x:c r="C11" s="18" t="str">
        <x:v>فاز ۱ Content</x:v>
      </x:c>
      <x:c r="E11" s="18" t="str">
        <x:v>Article</x:v>
      </x:c>
      <x:c r="F11" s="18" t="str">
        <x:v>about</x:v>
      </x:c>
      <x:c r="G11" s="18" t="str">
        <x:v>Topic/Service/Product/Solution</x:v>
      </x:c>
      <x:c r="H11" s="18" t="str">
        <x:v>رابطه تایپ‌شده در cg_entity_relations یا Adapter اختصاصی</x:v>
      </x:c>
    </x:row>
    <x:row r="12">
      <x:c r="A12" s="18" t="str">
        <x:v>Solution</x:v>
      </x:c>
      <x:c r="B12" s="18" t="str">
        <x:v>ترکیب پرسونا×هدف با خدمات، محصولات و شواهد</x:v>
      </x:c>
      <x:c r="C12" s="18" t="str">
        <x:v>فاز ۱ Content</x:v>
      </x:c>
      <x:c r="E12" s="18" t="str">
        <x:v>Video</x:v>
      </x:c>
      <x:c r="F12" s="18" t="str">
        <x:v>demonstrates</x:v>
      </x:c>
      <x:c r="G12" s="18" t="str">
        <x:v>Service/Product/Portfolio/Project</x:v>
      </x:c>
      <x:c r="H12" s="18" t="str">
        <x:v>رابطه تایپ‌شده در cg_entity_relations یا Adapter اختصاصی</x:v>
      </x:c>
    </x:row>
    <x:row r="13">
      <x:c r="A13" s="18" t="str">
        <x:v>Article</x:v>
      </x:c>
      <x:c r="B13" s="18" t="str">
        <x:v>محتوای پاسخ‌محور در پیلار/کلاستر/قیف</x:v>
      </x:c>
      <x:c r="C13" s="18" t="str">
        <x:v>فاز ۱ Content</x:v>
      </x:c>
      <x:c r="E13" s="18" t="str">
        <x:v>Persona</x:v>
      </x:c>
      <x:c r="F13" s="18" t="str">
        <x:v>needs</x:v>
      </x:c>
      <x:c r="G13" s="18" t="str">
        <x:v>Solution/Service/Product</x:v>
      </x:c>
      <x:c r="H13" s="18" t="str">
        <x:v>رابطه تایپ‌شده در cg_entity_relations یا Adapter اختصاصی</x:v>
      </x:c>
    </x:row>
    <x:row r="14">
      <x:c r="A14" s="18" t="str">
        <x:v>Video</x:v>
      </x:c>
      <x:c r="B14" s="18" t="str">
        <x:v>مدرک دیداری و محتوای مستقل</x:v>
      </x:c>
      <x:c r="C14" s="18" t="str">
        <x:v>فاز ۱ Content</x:v>
      </x:c>
      <x:c r="E14" s="18" t="str">
        <x:v>Pillar</x:v>
      </x:c>
      <x:c r="F14" s="18" t="str">
        <x:v>has_cluster</x:v>
      </x:c>
      <x:c r="G14" s="18" t="str">
        <x:v>Cluster</x:v>
      </x:c>
      <x:c r="H14" s="18" t="str">
        <x:v>رابطه تایپ‌شده در cg_entity_relations یا Adapter اختصاصی</x:v>
      </x:c>
    </x:row>
    <x:row r="15">
      <x:c r="A15" s="18" t="str">
        <x:v>Place</x:v>
      </x:c>
      <x:c r="B15" s="18" t="str">
        <x:v>شهر، موقعیت، منطقه خدمت یا محل MediaAsset/Facility</x:v>
      </x:c>
      <x:c r="C15" s="18" t="str">
        <x:v>فاز ۱ Content</x:v>
      </x:c>
      <x:c r="E15" s="18" t="str">
        <x:v>Cluster</x:v>
      </x:c>
      <x:c r="F15" s="18" t="str">
        <x:v>supports</x:v>
      </x:c>
      <x:c r="G15" s="18" t="str">
        <x:v>Service/Product/Solution</x:v>
      </x:c>
      <x:c r="H15" s="18" t="str">
        <x:v>رابطه تایپ‌شده در cg_entity_relations یا Adapter اختصاصی</x:v>
      </x:c>
    </x:row>
    <x:row r="16">
      <x:c r="A16" s="18" t="str">
        <x:v>Customer</x:v>
      </x:c>
      <x:c r="B16" s="18" t="str">
        <x:v>مشتری یا حساب کاربری؛ مالک سبد، سفارش، پرداخت و قرارداد</x:v>
      </x:c>
      <x:c r="C16" s="18" t="str">
        <x:v>فاز ۱ Commerce</x:v>
      </x:c>
      <x:c r="E16" s="18" t="str">
        <x:v>Project</x:v>
      </x:c>
      <x:c r="F16" s="18" t="str">
        <x:v>contains</x:v>
      </x:c>
      <x:c r="G16" s="18" t="str">
        <x:v>MediaAsset</x:v>
      </x:c>
      <x:c r="H16" s="18" t="str">
        <x:v>توسط افزونه اجاره در فاز ۴ ثبت می‌شود؛ ساختار پایه تغییر نمی‌کند</x:v>
      </x:c>
    </x:row>
    <x:row r="17">
      <x:c r="A17" s="18" t="str">
        <x:v>Cart</x:v>
      </x:c>
      <x:c r="B17" s="18" t="str">
        <x:v>سبد جاری با Line Type registry و اعتبارسنجی سمت سرور</x:v>
      </x:c>
      <x:c r="C17" s="18" t="str">
        <x:v>فاز ۱ Commerce</x:v>
      </x:c>
      <x:c r="E17" s="18" t="str">
        <x:v>MediaAsset</x:v>
      </x:c>
      <x:c r="F17" s="18" t="str">
        <x:v>instance_of</x:v>
      </x:c>
      <x:c r="G17" s="18" t="str">
        <x:v>ProductVariant</x:v>
      </x:c>
      <x:c r="H17" s="18" t="str">
        <x:v>توسط افزونه اجاره در فاز ۴ ثبت می‌شود؛ ساختار پایه تغییر نمی‌کند</x:v>
      </x:c>
    </x:row>
    <x:row r="18">
      <x:c r="A18" s="18" t="str">
        <x:v>Order</x:v>
      </x:c>
      <x:c r="B18" s="18" t="str">
        <x:v>سفارش عمومی مستقل از خرید کالا یا اجاره</x:v>
      </x:c>
      <x:c r="C18" s="18" t="str">
        <x:v>فاز ۱ Commerce</x:v>
      </x:c>
      <x:c r="E18" s="18" t="str">
        <x:v>MediaAsset</x:v>
      </x:c>
      <x:c r="F18" s="18" t="str">
        <x:v>has_availability</x:v>
      </x:c>
      <x:c r="G18" s="18" t="str">
        <x:v>AvailabilityPeriod</x:v>
      </x:c>
      <x:c r="H18" s="18" t="str">
        <x:v>توسط افزونه اجاره در فاز ۴ ثبت می‌شود؛ ساختار پایه تغییر نمی‌کند</x:v>
      </x:c>
    </x:row>
    <x:row r="19">
      <x:c r="A19" s="18" t="str">
        <x:v>OrderLine</x:v>
      </x:c>
      <x:c r="B19" s="18" t="str">
        <x:v>ردیف سفارش قابل توسعه برای ProductPurchase، Service و MediaRental</x:v>
      </x:c>
      <x:c r="C19" s="18" t="str">
        <x:v>فاز ۱ Commerce</x:v>
      </x:c>
      <x:c r="E19" s="18" t="str">
        <x:v>MediaAsset</x:v>
      </x:c>
      <x:c r="F19" s="18" t="str">
        <x:v>priced_by</x:v>
      </x:c>
      <x:c r="G19" s="18" t="str">
        <x:v>RatePlan</x:v>
      </x:c>
      <x:c r="H19" s="18" t="str">
        <x:v>توسط افزونه اجاره در فاز ۴ ثبت می‌شود؛ ساختار پایه تغییر نمی‌کند</x:v>
      </x:c>
    </x:row>
    <x:row r="20">
      <x:c r="A20" s="18" t="str">
        <x:v>Payment</x:v>
      </x:c>
      <x:c r="B20" s="18" t="str">
        <x:v>تراکنش، مرجع درگاه، وضعیت و تطبیق حسابداری</x:v>
      </x:c>
      <x:c r="C20" s="18" t="str">
        <x:v>فاز ۱ Commerce</x:v>
      </x:c>
      <x:c r="E20" s="18" t="str">
        <x:v>Cart</x:v>
      </x:c>
      <x:c r="F20" s="18" t="str">
        <x:v>contains</x:v>
      </x:c>
      <x:c r="G20" s="18" t="str">
        <x:v>OrderLine</x:v>
      </x:c>
      <x:c r="H20" s="18" t="str">
        <x:v>رابطه تایپ‌شده در cg_entity_relations یا Adapter اختصاصی</x:v>
      </x:c>
    </x:row>
    <x:row r="21">
      <x:c r="A21" s="18" t="str">
        <x:v>Invoice</x:v>
      </x:c>
      <x:c r="B21" s="18" t="str">
        <x:v>Snapshot مالی نسخه‌دار از ردیف‌ها، مالیات، تخفیف و مانده</x:v>
      </x:c>
      <x:c r="C21" s="18" t="str">
        <x:v>فاز ۱ Commerce</x:v>
      </x:c>
      <x:c r="E21" s="18" t="str">
        <x:v>Order</x:v>
      </x:c>
      <x:c r="F21" s="18" t="str">
        <x:v>created_from</x:v>
      </x:c>
      <x:c r="G21" s="18" t="str">
        <x:v>Cart</x:v>
      </x:c>
      <x:c r="H21" s="18" t="str">
        <x:v>رابطه تایپ‌شده در cg_entity_relations یا Adapter اختصاصی</x:v>
      </x:c>
    </x:row>
    <x:row r="22">
      <x:c r="A22" s="18" t="str">
        <x:v>ContractAcceptance</x:v>
      </x:c>
      <x:c r="B22" s="18" t="str">
        <x:v>پذیرش نسخه قرارداد، زمان، کاربر و شواهد قابل استناد</x:v>
      </x:c>
      <x:c r="C22" s="18" t="str">
        <x:v>فاز ۱ Commerce</x:v>
      </x:c>
      <x:c r="E22" s="18" t="str">
        <x:v>Order</x:v>
      </x:c>
      <x:c r="F22" s="18" t="str">
        <x:v>contains</x:v>
      </x:c>
      <x:c r="G22" s="18" t="str">
        <x:v>OrderLine</x:v>
      </x:c>
      <x:c r="H22" s="18" t="str">
        <x:v>رابطه تایپ‌شده در cg_entity_relations یا Adapter اختصاصی</x:v>
      </x:c>
    </x:row>
    <x:row r="23">
      <x:c r="A23" s="18" t="str">
        <x:v>NotificationEvent</x:v>
      </x:c>
      <x:c r="B23" s="18" t="str">
        <x:v>رویداد عمومی برای SMS، ایمیل و اعلان داخلی</x:v>
      </x:c>
      <x:c r="C23" s="18" t="str">
        <x:v>فاز ۱ Commerce</x:v>
      </x:c>
      <x:c r="E23" s="18" t="str">
        <x:v>Order</x:v>
      </x:c>
      <x:c r="F23" s="18" t="str">
        <x:v>paid_by</x:v>
      </x:c>
      <x:c r="G23" s="18" t="str">
        <x:v>Payment</x:v>
      </x:c>
      <x:c r="H23" s="18" t="str">
        <x:v>رابطه تایپ‌شده در cg_entity_relations یا Adapter اختصاصی</x:v>
      </x:c>
    </x:row>
    <x:row r="24">
      <x:c r="A24" s="18" t="str">
        <x:v>FeatureFlag</x:v>
      </x:c>
      <x:c r="B24" s="18" t="str">
        <x:v>کنترل انتشار قابلیت‌ها بدون تغییر ساختار یا حذف داده</x:v>
      </x:c>
      <x:c r="C24" s="18" t="str">
        <x:v>فاز ۱ Commerce</x:v>
      </x:c>
      <x:c r="E24" s="18" t="str">
        <x:v>Order</x:v>
      </x:c>
      <x:c r="F24" s="18" t="str">
        <x:v>snapshot_as</x:v>
      </x:c>
      <x:c r="G24" s="18" t="str">
        <x:v>Invoice</x:v>
      </x:c>
      <x:c r="H24" s="18" t="str">
        <x:v>رابطه تایپ‌شده در cg_entity_relations یا Adapter اختصاصی</x:v>
      </x:c>
    </x:row>
    <x:row r="25">
      <x:c r="A25" s="18" t="str">
        <x:v>AvailabilityPeriod</x:v>
      </x:c>
      <x:c r="B25" s="18" t="str">
        <x:v>بازه یا ماه قابل رزرو متعلق به MediaAsset</x:v>
      </x:c>
      <x:c r="C25" s="18" t="str">
        <x:v>فاز ۴</x:v>
      </x:c>
      <x:c r="E25" s="18" t="str">
        <x:v>Order</x:v>
      </x:c>
      <x:c r="F25" s="18" t="str">
        <x:v>accepted_under</x:v>
      </x:c>
      <x:c r="G25" s="18" t="str">
        <x:v>ContractAcceptance</x:v>
      </x:c>
      <x:c r="H25" s="18" t="str">
        <x:v>رابطه تایپ‌شده در cg_entity_relations یا Adapter اختصاصی</x:v>
      </x:c>
    </x:row>
    <x:row r="26">
      <x:c r="A26" s="18" t="str">
        <x:v>BookingHold</x:v>
      </x:c>
      <x:c r="B26" s="18" t="str">
        <x:v>قفل موقت هم‌زمانی پیش از پرداخت یا تأیید</x:v>
      </x:c>
      <x:c r="C26" s="18" t="str">
        <x:v>فاز ۴</x:v>
      </x:c>
      <x:c r="E26" s="18" t="str">
        <x:v>OrderLine</x:v>
      </x:c>
      <x:c r="F26" s="18" t="str">
        <x:v>references</x:v>
      </x:c>
      <x:c r="G26" s="18" t="str">
        <x:v>ProductVariant/Service/MediaAsset</x:v>
      </x:c>
      <x:c r="H26" s="18" t="str">
        <x:v>رابطه تایپ‌شده در cg_entity_relations یا Adapter اختصاصی</x:v>
      </x:c>
    </x:row>
    <x:row r="27">
      <x:c r="A27" s="18" t="str">
        <x:v>Reservation</x:v>
      </x:c>
      <x:c r="B27" s="18" t="str">
        <x:v>رزرو قطعی یا عملیاتی رسانه</x:v>
      </x:c>
      <x:c r="C27" s="18" t="str">
        <x:v>فاز ۴</x:v>
      </x:c>
      <x:c r="E27" s="18" t="str">
        <x:v>BookingHold</x:v>
      </x:c>
      <x:c r="F27" s="18" t="str">
        <x:v>locks</x:v>
      </x:c>
      <x:c r="G27" s="18" t="str">
        <x:v>MediaAsset+AvailabilityPeriod</x:v>
      </x:c>
      <x:c r="H27" s="18" t="str">
        <x:v>توسط افزونه اجاره در فاز ۴ ثبت می‌شود؛ ساختار پایه تغییر نمی‌کند</x:v>
      </x:c>
    </x:row>
    <x:row r="28">
      <x:c r="A28" s="18" t="str">
        <x:v>RatePlan</x:v>
      </x:c>
      <x:c r="B28" s="18" t="str">
        <x:v>قیمت، حداقل مدت، بیعانه، مالیات و خدمات افزوده رسانه</x:v>
      </x:c>
      <x:c r="C28" s="18" t="str">
        <x:v>فاز ۴</x:v>
      </x:c>
      <x:c r="E28" s="18" t="str">
        <x:v>Reservation</x:v>
      </x:c>
      <x:c r="F28" s="18" t="str">
        <x:v>confirms</x:v>
      </x:c>
      <x:c r="G28" s="18" t="str">
        <x:v>BookingHold</x:v>
      </x:c>
      <x:c r="H28" s="18" t="str">
        <x:v>توسط افزونه اجاره در فاز ۴ ثبت می‌شود؛ ساختار پایه تغییر نمی‌کند</x:v>
      </x:c>
    </x:row>
    <x:row r="29">
      <x:c r="E29" s="18" t="str">
        <x:v>Reservation</x:v>
      </x:c>
      <x:c r="F29" s="18" t="str">
        <x:v>belongs_to</x:v>
      </x:c>
      <x:c r="G29" s="18" t="str">
        <x:v>OrderLine</x:v>
      </x:c>
      <x:c r="H29" s="18" t="str">
        <x:v>توسط افزونه اجاره در فاز ۴ ثبت می‌شود؛ ساختار پایه تغییر نمی‌کند</x:v>
      </x:c>
    </x:row>
    <x:row r="30">
      <x:c r="E30" s="18" t="str">
        <x:v>NotificationEvent</x:v>
      </x:c>
      <x:c r="F30" s="18" t="str">
        <x:v>observes</x:v>
      </x:c>
      <x:c r="G30" s="18" t="str">
        <x:v>Order/Payment/Reservation</x:v>
      </x:c>
      <x:c r="H30" s="18" t="str">
        <x:v>رابطه تایپ‌شده در cg_entity_relations یا Adapter اختصاصی</x:v>
      </x:c>
    </x:row>
    <x:row r="31">
      <x:c r="E31" s="18" t="str">
        <x:v>FeatureFlag</x:v>
      </x:c>
      <x:c r="F31" s="18" t="str">
        <x:v>controls</x:v>
      </x:c>
      <x:c r="G31" s="18" t="str">
        <x:v>Route/Component/API</x:v>
      </x:c>
      <x:c r="H31" s="18" t="str">
        <x:v>رابطه تایپ‌شده در cg_entity_relations یا Adapter اختصاصی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2" hidden="0" customWidth="1"/>
    <x:col min="3" max="3" width="16" hidden="0" customWidth="1"/>
    <x:col min="4" max="4" width="52" hidden="0" customWidth="1"/>
    <x:col min="5" max="5" width="4" hidden="0" customWidth="1"/>
    <x:col min="6" max="6" width="12" hidden="0" customWidth="1"/>
    <x:col min="7" max="7" width="36" hidden="0" customWidth="1"/>
    <x:col min="8" max="8" width="22" hidden="0" customWidth="1"/>
    <x:col min="9" max="9" width="32" hidden="0" customWidth="1"/>
  </x:cols>
  <x:sheetData>
    <x:row r="1">
      <x:c r="A1" s="23" t="str">
        <x:v>لایه</x:v>
      </x:c>
      <x:c r="B1" s="23" t="str">
        <x:v>کامپوننت</x:v>
      </x:c>
      <x:c r="C1" s="23" t="str">
        <x:v>فاز</x:v>
      </x:c>
      <x:c r="D1" s="23" t="str">
        <x:v>قاعده</x:v>
      </x:c>
      <x:c r="F1" s="23" t="str">
        <x:v>ترتیب هوم</x:v>
      </x:c>
      <x:c r="G1" s="23" t="str">
        <x:v>Section</x:v>
      </x:c>
      <x:c r="H1" s="23" t="str">
        <x:v>داده</x:v>
      </x:c>
      <x:c r="I1" s="23" t="str">
        <x:v>شرط انتشار</x:v>
      </x:c>
    </x:row>
    <x:row r="2">
      <x:c r="A2" s="18" t="str">
        <x:v>presentation</x:v>
      </x:c>
      <x:c r="B2" s="18" t="str">
        <x:v>SiteHeader</x:v>
      </x:c>
      <x:c r="C2" s="18" t="str">
        <x:v>فاز ۱</x:v>
      </x:c>
      <x:c r="D2" s="18" t="str">
        <x:v>یک منبع داده و یک Component؛ بدون نسخه موبایل جدا</x:v>
      </x:c>
      <x:c r="F2" s="18" t="n">
        <x:v>1</x:v>
      </x:c>
      <x:c r="G2" s="18" t="str">
        <x:v>Header/MegaMenu</x:v>
      </x:c>
      <x:c r="H2" s="18" t="str">
        <x:v>CMS/Provider</x:v>
      </x:c>
      <x:c r="I2" s="18" t="str">
        <x:v>محتوای مصوب</x:v>
      </x:c>
    </x:row>
    <x:row r="3">
      <x:c r="A3" s="18" t="str">
        <x:v>presentation</x:v>
      </x:c>
      <x:c r="B3" s="18" t="str">
        <x:v>MegaMenu</x:v>
      </x:c>
      <x:c r="C3" s="18" t="str">
        <x:v>فاز ۱</x:v>
      </x:c>
      <x:c r="D3" s="18" t="str">
        <x:v>یک منبع داده و یک Component؛ بدون نسخه موبایل جدا</x:v>
      </x:c>
      <x:c r="F3" s="18" t="n">
        <x:v>2</x:v>
      </x:c>
      <x:c r="G3" s="18" t="str">
        <x:v>Hero</x:v>
      </x:c>
      <x:c r="H3" s="18" t="str">
        <x:v>CMS/Provider</x:v>
      </x:c>
      <x:c r="I3" s="18" t="str">
        <x:v>محتوای مصوب</x:v>
      </x:c>
    </x:row>
    <x:row r="4">
      <x:c r="A4" s="18" t="str">
        <x:v>presentation</x:v>
      </x:c>
      <x:c r="B4" s="18" t="str">
        <x:v>MobileDrawer</x:v>
      </x:c>
      <x:c r="C4" s="18" t="str">
        <x:v>فاز ۱</x:v>
      </x:c>
      <x:c r="D4" s="18" t="str">
        <x:v>یک منبع داده و یک Component؛ بدون نسخه موبایل جدا</x:v>
      </x:c>
      <x:c r="F4" s="18" t="n">
        <x:v>3</x:v>
      </x:c>
      <x:c r="G4" s="18" t="str">
        <x:v>DecisionHelper</x:v>
      </x:c>
      <x:c r="H4" s="18" t="str">
        <x:v>CMS/Provider</x:v>
      </x:c>
      <x:c r="I4" s="18" t="str">
        <x:v>محتوای مصوب</x:v>
      </x:c>
    </x:row>
    <x:row r="5">
      <x:c r="A5" s="18" t="str">
        <x:v>presentation</x:v>
      </x:c>
      <x:c r="B5" s="18" t="str">
        <x:v>SiteFooter</x:v>
      </x:c>
      <x:c r="C5" s="18" t="str">
        <x:v>فاز ۱</x:v>
      </x:c>
      <x:c r="D5" s="18" t="str">
        <x:v>یک منبع داده و یک Component؛ بدون نسخه موبایل جدا</x:v>
      </x:c>
      <x:c r="F5" s="18" t="n">
        <x:v>4</x:v>
      </x:c>
      <x:c r="G5" s="18" t="str">
        <x:v>Portfolio</x:v>
      </x:c>
      <x:c r="H5" s="18" t="str">
        <x:v>CMS/Provider</x:v>
      </x:c>
      <x:c r="I5" s="18" t="str">
        <x:v>محتوای مصوب</x:v>
      </x:c>
    </x:row>
    <x:row r="6">
      <x:c r="A6" s="18" t="str">
        <x:v>presentation</x:v>
      </x:c>
      <x:c r="B6" s="18" t="str">
        <x:v>SectionShell</x:v>
      </x:c>
      <x:c r="C6" s="18" t="str">
        <x:v>فاز ۱</x:v>
      </x:c>
      <x:c r="D6" s="18" t="str">
        <x:v>یک منبع داده و یک Component؛ بدون نسخه موبایل جدا</x:v>
      </x:c>
      <x:c r="F6" s="18" t="n">
        <x:v>5</x:v>
      </x:c>
      <x:c r="G6" s="18" t="str">
        <x:v>ProblemRoutes</x:v>
      </x:c>
      <x:c r="H6" s="18" t="str">
        <x:v>CMS/Provider</x:v>
      </x:c>
      <x:c r="I6" s="18" t="str">
        <x:v>محتوای مصوب</x:v>
      </x:c>
    </x:row>
    <x:row r="7">
      <x:c r="A7" s="18" t="str">
        <x:v>presentation</x:v>
      </x:c>
      <x:c r="B7" s="18" t="str">
        <x:v>Modal</x:v>
      </x:c>
      <x:c r="C7" s="18" t="str">
        <x:v>فاز ۱</x:v>
      </x:c>
      <x:c r="D7" s="18" t="str">
        <x:v>یک منبع داده و یک Component؛ بدون نسخه موبایل جدا</x:v>
      </x:c>
      <x:c r="F7" s="18" t="n">
        <x:v>6</x:v>
      </x:c>
      <x:c r="G7" s="18" t="str">
        <x:v>ExecutionChains</x:v>
      </x:c>
      <x:c r="H7" s="18" t="str">
        <x:v>CMS/Provider</x:v>
      </x:c>
      <x:c r="I7" s="18" t="str">
        <x:v>محتوای مصوب</x:v>
      </x:c>
    </x:row>
    <x:row r="8">
      <x:c r="A8" s="18" t="str">
        <x:v>presentation</x:v>
      </x:c>
      <x:c r="B8" s="18" t="str">
        <x:v>Toast</x:v>
      </x:c>
      <x:c r="C8" s="18" t="str">
        <x:v>فاز ۱</x:v>
      </x:c>
      <x:c r="D8" s="18" t="str">
        <x:v>یک منبع داده و یک Component؛ بدون نسخه موبایل جدا</x:v>
      </x:c>
      <x:c r="F8" s="18" t="n">
        <x:v>7</x:v>
      </x:c>
      <x:c r="G8" s="18" t="str">
        <x:v>AboutCapabilities</x:v>
      </x:c>
      <x:c r="H8" s="18" t="str">
        <x:v>CMS/Provider</x:v>
      </x:c>
      <x:c r="I8" s="18" t="str">
        <x:v>محتوای مصوب</x:v>
      </x:c>
    </x:row>
    <x:row r="9">
      <x:c r="A9" s="18" t="str">
        <x:v>presentation</x:v>
      </x:c>
      <x:c r="B9" s="18" t="str">
        <x:v>FormField</x:v>
      </x:c>
      <x:c r="C9" s="18" t="str">
        <x:v>فاز ۱</x:v>
      </x:c>
      <x:c r="D9" s="18" t="str">
        <x:v>یک منبع داده و یک Component؛ بدون نسخه موبایل جدا</x:v>
      </x:c>
      <x:c r="F9" s="18" t="n">
        <x:v>8</x:v>
      </x:c>
      <x:c r="G9" s="18" t="str">
        <x:v>ServiceHubs</x:v>
      </x:c>
      <x:c r="H9" s="18" t="str">
        <x:v>CMS/Provider</x:v>
      </x:c>
      <x:c r="I9" s="18" t="str">
        <x:v>محتوای مصوب</x:v>
      </x:c>
    </x:row>
    <x:row r="10">
      <x:c r="A10" s="18" t="str">
        <x:v>content</x:v>
      </x:c>
      <x:c r="B10" s="18" t="str">
        <x:v>ServiceCard</x:v>
      </x:c>
      <x:c r="C10" s="18" t="str">
        <x:v>فاز ۲/۳</x:v>
      </x:c>
      <x:c r="D10" s="18" t="str">
        <x:v>یک منبع داده و یک Component؛ بدون نسخه موبایل جدا</x:v>
      </x:c>
      <x:c r="F10" s="18" t="n">
        <x:v>9</x:v>
      </x:c>
      <x:c r="G10" s="18" t="str">
        <x:v>RentalEntryMount-disabled</x:v>
      </x:c>
      <x:c r="H10" s="18" t="str">
        <x:v>CMS/Provider</x:v>
      </x:c>
      <x:c r="I10" s="18" t="str">
        <x:v>غیرفعال یا مخفی تا تأیید</x:v>
      </x:c>
    </x:row>
    <x:row r="11">
      <x:c r="A11" s="18" t="str">
        <x:v>content</x:v>
      </x:c>
      <x:c r="B11" s="18" t="str">
        <x:v>ProductCard</x:v>
      </x:c>
      <x:c r="C11" s="18" t="str">
        <x:v>فاز ۲/۳</x:v>
      </x:c>
      <x:c r="D11" s="18" t="str">
        <x:v>یک منبع داده و یک Component؛ بدون نسخه موبایل جدا</x:v>
      </x:c>
      <x:c r="F11" s="18" t="n">
        <x:v>10</x:v>
      </x:c>
      <x:c r="G11" s="18" t="str">
        <x:v>ProductStructures</x:v>
      </x:c>
      <x:c r="H11" s="18" t="str">
        <x:v>CMS/Provider</x:v>
      </x:c>
      <x:c r="I11" s="18" t="str">
        <x:v>محتوای مصوب</x:v>
      </x:c>
    </x:row>
    <x:row r="12">
      <x:c r="A12" s="18" t="str">
        <x:v>content</x:v>
      </x:c>
      <x:c r="B12" s="18" t="str">
        <x:v>ProductVariantSelector</x:v>
      </x:c>
      <x:c r="C12" s="18" t="str">
        <x:v>فاز ۲/۳</x:v>
      </x:c>
      <x:c r="D12" s="18" t="str">
        <x:v>یک منبع داده و یک Component؛ بدون نسخه موبایل جدا</x:v>
      </x:c>
      <x:c r="F12" s="18" t="n">
        <x:v>11</x:v>
      </x:c>
      <x:c r="G12" s="18" t="str">
        <x:v>ExhibitionSolution</x:v>
      </x:c>
      <x:c r="H12" s="18" t="str">
        <x:v>CMS/Provider</x:v>
      </x:c>
      <x:c r="I12" s="18" t="str">
        <x:v>محتوای مصوب</x:v>
      </x:c>
    </x:row>
    <x:row r="13">
      <x:c r="A13" s="18" t="str">
        <x:v>content</x:v>
      </x:c>
      <x:c r="B13" s="18" t="str">
        <x:v>ProjectCard</x:v>
      </x:c>
      <x:c r="C13" s="18" t="str">
        <x:v>فاز ۲/۳</x:v>
      </x:c>
      <x:c r="D13" s="18" t="str">
        <x:v>یک منبع داده و یک Component؛ بدون نسخه موبایل جدا</x:v>
      </x:c>
      <x:c r="F13" s="18" t="n">
        <x:v>12</x:v>
      </x:c>
      <x:c r="G13" s="18" t="str">
        <x:v>Process</x:v>
      </x:c>
      <x:c r="H13" s="18" t="str">
        <x:v>CMS/Provider</x:v>
      </x:c>
      <x:c r="I13" s="18" t="str">
        <x:v>محتوای مصوب</x:v>
      </x:c>
    </x:row>
    <x:row r="14">
      <x:c r="A14" s="18" t="str">
        <x:v>content</x:v>
      </x:c>
      <x:c r="B14" s="18" t="str">
        <x:v>PortfolioCard</x:v>
      </x:c>
      <x:c r="C14" s="18" t="str">
        <x:v>فاز ۲/۳</x:v>
      </x:c>
      <x:c r="D14" s="18" t="str">
        <x:v>یک منبع داده و یک Component؛ بدون نسخه موبایل جدا</x:v>
      </x:c>
      <x:c r="F14" s="18" t="n">
        <x:v>13</x:v>
      </x:c>
      <x:c r="G14" s="18" t="str">
        <x:v>ApprovedClients-disabled</x:v>
      </x:c>
      <x:c r="H14" s="18" t="str">
        <x:v>CMS/Provider</x:v>
      </x:c>
      <x:c r="I14" s="18" t="str">
        <x:v>غیرفعال یا مخفی تا تأیید</x:v>
      </x:c>
    </x:row>
    <x:row r="15">
      <x:c r="A15" s="18" t="str">
        <x:v>content</x:v>
      </x:c>
      <x:c r="B15" s="18" t="str">
        <x:v>ArticleCard</x:v>
      </x:c>
      <x:c r="C15" s="18" t="str">
        <x:v>فاز ۲/۳</x:v>
      </x:c>
      <x:c r="D15" s="18" t="str">
        <x:v>یک منبع داده و یک Component؛ بدون نسخه موبایل جدا</x:v>
      </x:c>
      <x:c r="F15" s="18" t="n">
        <x:v>14</x:v>
      </x:c>
      <x:c r="G15" s="18" t="str">
        <x:v>MediaAndBlog</x:v>
      </x:c>
      <x:c r="H15" s="18" t="str">
        <x:v>CMS/Provider</x:v>
      </x:c>
      <x:c r="I15" s="18" t="str">
        <x:v>محتوای مصوب</x:v>
      </x:c>
    </x:row>
    <x:row r="16">
      <x:c r="A16" s="18" t="str">
        <x:v>content</x:v>
      </x:c>
      <x:c r="B16" s="18" t="str">
        <x:v>VideoCard</x:v>
      </x:c>
      <x:c r="C16" s="18" t="str">
        <x:v>فاز ۲/۳</x:v>
      </x:c>
      <x:c r="D16" s="18" t="str">
        <x:v>یک منبع داده و یک Component؛ بدون نسخه موبایل جدا</x:v>
      </x:c>
      <x:c r="F16" s="18" t="n">
        <x:v>15</x:v>
      </x:c>
      <x:c r="G16" s="18" t="str">
        <x:v>FAQ</x:v>
      </x:c>
      <x:c r="H16" s="18" t="str">
        <x:v>CMS/Provider</x:v>
      </x:c>
      <x:c r="I16" s="18" t="str">
        <x:v>محتوای مصوب</x:v>
      </x:c>
    </x:row>
    <x:row r="17">
      <x:c r="A17" s="18" t="str">
        <x:v>content</x:v>
      </x:c>
      <x:c r="B17" s="18" t="str">
        <x:v>CapabilityCard</x:v>
      </x:c>
      <x:c r="C17" s="18" t="str">
        <x:v>فاز ۲/۳</x:v>
      </x:c>
      <x:c r="D17" s="18" t="str">
        <x:v>یک منبع داده و یک Component؛ بدون نسخه موبایل جدا</x:v>
      </x:c>
      <x:c r="F17" s="18" t="n">
        <x:v>16</x:v>
      </x:c>
      <x:c r="G17" s="18" t="str">
        <x:v>Contact</x:v>
      </x:c>
      <x:c r="H17" s="18" t="str">
        <x:v>CMS/Provider</x:v>
      </x:c>
      <x:c r="I17" s="18" t="str">
        <x:v>محتوای مصوب</x:v>
      </x:c>
    </x:row>
    <x:row r="18">
      <x:c r="A18" s="18" t="str">
        <x:v>content</x:v>
      </x:c>
      <x:c r="B18" s="18" t="str">
        <x:v>SolutionCard</x:v>
      </x:c>
      <x:c r="C18" s="18" t="str">
        <x:v>فاز ۲/۳</x:v>
      </x:c>
      <x:c r="D18" s="18" t="str">
        <x:v>یک منبع داده و یک Component؛ بدون نسخه موبایل جدا</x:v>
      </x:c>
      <x:c r="F18" s="18" t="n">
        <x:v>17</x:v>
      </x:c>
      <x:c r="G18" s="18" t="str">
        <x:v>Footer</x:v>
      </x:c>
      <x:c r="H18" s="18" t="str">
        <x:v>CMS/Provider</x:v>
      </x:c>
      <x:c r="I18" s="18" t="str">
        <x:v>محتوای مصوب</x:v>
      </x:c>
    </x:row>
    <x:row r="19">
      <x:c r="A19" s="18" t="str">
        <x:v>commerce</x:v>
      </x:c>
      <x:c r="B19" s="18" t="str">
        <x:v>PriceBlock</x:v>
      </x:c>
      <x:c r="C19" s="18" t="str">
        <x:v>فاز ۱</x:v>
      </x:c>
      <x:c r="D19" s="18" t="str">
        <x:v>یک منبع داده و یک Component؛ بدون نسخه موبایل جدا</x:v>
      </x:c>
    </x:row>
    <x:row r="20">
      <x:c r="A20" s="18" t="str">
        <x:v>commerce</x:v>
      </x:c>
      <x:c r="B20" s="18" t="str">
        <x:v>CartButton</x:v>
      </x:c>
      <x:c r="C20" s="18" t="str">
        <x:v>فاز ۱</x:v>
      </x:c>
      <x:c r="D20" s="18" t="str">
        <x:v>یک منبع داده و یک Component؛ بدون نسخه موبایل جدا</x:v>
      </x:c>
    </x:row>
    <x:row r="21">
      <x:c r="A21" s="18" t="str">
        <x:v>commerce</x:v>
      </x:c>
      <x:c r="B21" s="18" t="str">
        <x:v>CartDrawer</x:v>
      </x:c>
      <x:c r="C21" s="18" t="str">
        <x:v>فاز ۱</x:v>
      </x:c>
      <x:c r="D21" s="18" t="str">
        <x:v>یک منبع داده و یک Component؛ بدون نسخه موبایل جدا</x:v>
      </x:c>
    </x:row>
    <x:row r="22">
      <x:c r="A22" s="18" t="str">
        <x:v>commerce</x:v>
      </x:c>
      <x:c r="B22" s="18" t="str">
        <x:v>CartSummary</x:v>
      </x:c>
      <x:c r="C22" s="18" t="str">
        <x:v>فاز ۱</x:v>
      </x:c>
      <x:c r="D22" s="18" t="str">
        <x:v>یک منبع داده و یک Component؛ بدون نسخه موبایل جدا</x:v>
      </x:c>
    </x:row>
    <x:row r="23">
      <x:c r="A23" s="18" t="str">
        <x:v>commerce</x:v>
      </x:c>
      <x:c r="B23" s="18" t="str">
        <x:v>CheckoutStep</x:v>
      </x:c>
      <x:c r="C23" s="18" t="str">
        <x:v>فاز ۱</x:v>
      </x:c>
      <x:c r="D23" s="18" t="str">
        <x:v>یک منبع داده و یک Component؛ بدون نسخه موبایل جدا</x:v>
      </x:c>
    </x:row>
    <x:row r="24">
      <x:c r="A24" s="18" t="str">
        <x:v>commerce</x:v>
      </x:c>
      <x:c r="B24" s="18" t="str">
        <x:v>OrderStatus</x:v>
      </x:c>
      <x:c r="C24" s="18" t="str">
        <x:v>فاز ۱</x:v>
      </x:c>
      <x:c r="D24" s="18" t="str">
        <x:v>یک منبع داده و یک Component؛ بدون نسخه موبایل جدا</x:v>
      </x:c>
    </x:row>
    <x:row r="25">
      <x:c r="A25" s="18" t="str">
        <x:v>commerce</x:v>
      </x:c>
      <x:c r="B25" s="18" t="str">
        <x:v>AccountOrders</x:v>
      </x:c>
      <x:c r="C25" s="18" t="str">
        <x:v>فاز ۱</x:v>
      </x:c>
      <x:c r="D25" s="18" t="str">
        <x:v>یک منبع داده و یک Component؛ بدون نسخه موبایل جدا</x:v>
      </x:c>
    </x:row>
    <x:row r="26">
      <x:c r="A26" s="18" t="str">
        <x:v>future_rental</x:v>
      </x:c>
      <x:c r="B26" s="18" t="str">
        <x:v>RentalEntryMount</x:v>
      </x:c>
      <x:c r="C26" s="18" t="str">
        <x:v>فاز ۴</x:v>
      </x:c>
      <x:c r="D26" s="18" t="str">
        <x:v>یک منبع داده و یک Component؛ بدون نسخه موبایل جدا</x:v>
      </x:c>
    </x:row>
    <x:row r="27">
      <x:c r="A27" s="18" t="str">
        <x:v>future_rental</x:v>
      </x:c>
      <x:c r="B27" s="18" t="str">
        <x:v>MediaAssetCard</x:v>
      </x:c>
      <x:c r="C27" s="18" t="str">
        <x:v>فاز ۴</x:v>
      </x:c>
      <x:c r="D27" s="18" t="str">
        <x:v>یک منبع داده و یک Component؛ بدون نسخه موبایل جدا</x:v>
      </x:c>
    </x:row>
    <x:row r="28">
      <x:c r="A28" s="18" t="str">
        <x:v>future_rental</x:v>
      </x:c>
      <x:c r="B28" s="18" t="str">
        <x:v>MediaMap</x:v>
      </x:c>
      <x:c r="C28" s="18" t="str">
        <x:v>فاز ۴</x:v>
      </x:c>
      <x:c r="D28" s="18" t="str">
        <x:v>یک منبع داده و یک Component؛ بدون نسخه موبایل جدا</x:v>
      </x:c>
    </x:row>
    <x:row r="29">
      <x:c r="A29" s="18" t="str">
        <x:v>future_rental</x:v>
      </x:c>
      <x:c r="B29" s="18" t="str">
        <x:v>AvailabilityCalendar</x:v>
      </x:c>
      <x:c r="C29" s="18" t="str">
        <x:v>فاز ۴</x:v>
      </x:c>
      <x:c r="D29" s="18" t="str">
        <x:v>یک منبع داده و یک Component؛ بدون نسخه موبایل جدا</x:v>
      </x:c>
    </x:row>
    <x:row r="30">
      <x:c r="A30" s="18" t="str">
        <x:v>future_rental</x:v>
      </x:c>
      <x:c r="B30" s="18" t="str">
        <x:v>BookingSummary</x:v>
      </x:c>
      <x:c r="C30" s="18" t="str">
        <x:v>فاز ۴</x:v>
      </x:c>
      <x:c r="D30" s="18" t="str">
        <x:v>یک منبع داده و یک Component؛ بدون نسخه موبایل جدا</x:v>
      </x:c>
    </x:row>
    <x:row r="31">
      <x:c r="A31" s="18" t="str">
        <x:v>future_rental</x:v>
      </x:c>
      <x:c r="B31" s="18" t="str">
        <x:v>RentalAddOnSelector</x:v>
      </x:c>
      <x:c r="C31" s="18" t="str">
        <x:v>فاز ۴</x:v>
      </x:c>
      <x:c r="D31" s="18" t="str">
        <x:v>یک منبع داده و یک Component؛ بدون نسخه موبایل جدا</x:v>
      </x:c>
    </x:row>
    <x:row r="32">
      <x:c r="A32" s="18" t="str">
        <x:v>future_rental</x:v>
      </x:c>
      <x:c r="B32" s="18" t="str">
        <x:v>HoldTimer</x:v>
      </x:c>
      <x:c r="C32" s="18" t="str">
        <x:v>فاز ۴</x:v>
      </x:c>
      <x:c r="D32" s="18" t="str">
        <x:v>یک منبع داده و یک Component؛ بدون نسخه موبایل جدا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58" hidden="0" customWidth="1"/>
    <x:col min="4" max="4" width="16" hidden="0" customWidth="1"/>
    <x:col min="5" max="5" width="10" hidden="0" customWidth="1"/>
    <x:col min="6" max="6" width="4" hidden="0" customWidth="1"/>
    <x:col min="7" max="7" width="34" hidden="0" customWidth="1"/>
    <x:col min="8" max="8" width="32" hidden="0" customWidth="1"/>
  </x:cols>
  <x:sheetData>
    <x:row r="1">
      <x:c r="A1" s="23" t="str">
        <x:v>نوع</x:v>
      </x:c>
      <x:c r="B1" s="23" t="str">
        <x:v>نام</x:v>
      </x:c>
      <x:c r="C1" s="23" t="str">
        <x:v>Storage</x:v>
      </x:c>
      <x:c r="D1" s="23" t="str">
        <x:v>Public</x:v>
      </x:c>
      <x:c r="E1" s="23" t="str">
        <x:v>فاز</x:v>
      </x:c>
      <x:c r="G1" s="23" t="str">
        <x:v>Permission</x:v>
      </x:c>
      <x:c r="H1" s="23" t="str">
        <x:v>مالک نقش</x:v>
      </x:c>
    </x:row>
    <x:row r="2">
      <x:c r="A2" s="18" t="str">
        <x:v>Content Type</x:v>
      </x:c>
      <x:c r="B2" s="18" t="str">
        <x:v>service</x:v>
      </x:c>
      <x:c r="C2" s="18" t="str">
        <x:v>custom post type</x:v>
      </x:c>
      <x:c r="D2" s="18" t="str">
        <x:v>True</x:v>
      </x:c>
      <x:c r="E2" s="18" t="n">
        <x:v>1</x:v>
      </x:c>
      <x:c r="G2" t="str">
        <x:v>manage_cg_catalog</x:v>
      </x:c>
      <x:c r="H2" t="str">
        <x:v>بر اساس نقش عملیاتی مصوب</x:v>
      </x:c>
    </x:row>
    <x:row r="3">
      <x:c r="A3" s="18" t="str">
        <x:v>Content Type</x:v>
      </x:c>
      <x:c r="B3" s="18" t="str">
        <x:v>product</x:v>
      </x:c>
      <x:c r="C3" s="18" t="str">
        <x:v>WooCommerce product</x:v>
      </x:c>
      <x:c r="D3" s="18" t="str">
        <x:v>True</x:v>
      </x:c>
      <x:c r="E3" s="18" t="n">
        <x:v>1</x:v>
      </x:c>
      <x:c r="G3" t="str">
        <x:v>manage_cg_projects</x:v>
      </x:c>
      <x:c r="H3" t="str">
        <x:v>بر اساس نقش عملیاتی مصوب</x:v>
      </x:c>
    </x:row>
    <x:row r="4">
      <x:c r="A4" s="18" t="str">
        <x:v>Content Type</x:v>
      </x:c>
      <x:c r="B4" s="18" t="str">
        <x:v>product_variation</x:v>
      </x:c>
      <x:c r="C4" s="18" t="str">
        <x:v>WooCommerce variation</x:v>
      </x:c>
      <x:c r="D4" s="18" t="str">
        <x:v>True</x:v>
      </x:c>
      <x:c r="E4" s="18" t="n">
        <x:v>1</x:v>
      </x:c>
      <x:c r="G4" t="str">
        <x:v>manage_cg_content</x:v>
      </x:c>
      <x:c r="H4" t="str">
        <x:v>بر اساس نقش عملیاتی مصوب</x:v>
      </x:c>
    </x:row>
    <x:row r="5">
      <x:c r="A5" s="18" t="str">
        <x:v>Content Type</x:v>
      </x:c>
      <x:c r="B5" s="18" t="str">
        <x:v>project</x:v>
      </x:c>
      <x:c r="C5" s="18" t="str">
        <x:v>custom post type</x:v>
      </x:c>
      <x:c r="D5" s="18" t="str">
        <x:v>True</x:v>
      </x:c>
      <x:c r="E5" s="18" t="n">
        <x:v>1</x:v>
      </x:c>
      <x:c r="G5" t="str">
        <x:v>manage_cg_orders</x:v>
      </x:c>
      <x:c r="H5" t="str">
        <x:v>بر اساس نقش عملیاتی مصوب</x:v>
      </x:c>
    </x:row>
    <x:row r="6">
      <x:c r="A6" s="18" t="str">
        <x:v>Content Type</x:v>
      </x:c>
      <x:c r="B6" s="18" t="str">
        <x:v>portfolio</x:v>
      </x:c>
      <x:c r="C6" s="18" t="str">
        <x:v>custom post type</x:v>
      </x:c>
      <x:c r="D6" s="18" t="str">
        <x:v>True</x:v>
      </x:c>
      <x:c r="E6" s="18" t="n">
        <x:v>1</x:v>
      </x:c>
      <x:c r="G6" t="str">
        <x:v>manage_cg_notifications</x:v>
      </x:c>
      <x:c r="H6" t="str">
        <x:v>بر اساس نقش عملیاتی مصوب</x:v>
      </x:c>
    </x:row>
    <x:row r="7">
      <x:c r="A7" s="18" t="str">
        <x:v>Content Type</x:v>
      </x:c>
      <x:c r="B7" s="18" t="str">
        <x:v>solution</x:v>
      </x:c>
      <x:c r="C7" s="18" t="str">
        <x:v>custom post type or page template</x:v>
      </x:c>
      <x:c r="D7" s="18" t="str">
        <x:v>True</x:v>
      </x:c>
      <x:c r="E7" s="18" t="n">
        <x:v>2</x:v>
      </x:c>
      <x:c r="G7" t="str">
        <x:v>manage_cg_rental_inventory</x:v>
      </x:c>
      <x:c r="H7" t="str">
        <x:v>بر اساس نقش عملیاتی مصوب</x:v>
      </x:c>
    </x:row>
    <x:row r="8">
      <x:c r="A8" s="18" t="str">
        <x:v>Content Type</x:v>
      </x:c>
      <x:c r="B8" s="18" t="str">
        <x:v>capability</x:v>
      </x:c>
      <x:c r="C8" s="18" t="str">
        <x:v>custom post type</x:v>
      </x:c>
      <x:c r="D8" s="18" t="str">
        <x:v>after evidence</x:v>
      </x:c>
      <x:c r="E8" s="18" t="n">
        <x:v>1</x:v>
      </x:c>
      <x:c r="G8" t="str">
        <x:v>manage_cg_reservations</x:v>
      </x:c>
      <x:c r="H8" t="str">
        <x:v>بر اساس نقش عملیاتی مصوب</x:v>
      </x:c>
    </x:row>
    <x:row r="9">
      <x:c r="A9" s="18" t="str">
        <x:v>Content Type</x:v>
      </x:c>
      <x:c r="B9" s="18" t="str">
        <x:v>facility</x:v>
      </x:c>
      <x:c r="C9" s="18" t="str">
        <x:v>custom post type</x:v>
      </x:c>
      <x:c r="D9" s="18" t="str">
        <x:v>after evidence</x:v>
      </x:c>
      <x:c r="E9" s="18" t="n">
        <x:v>1</x:v>
      </x:c>
      <x:c r="G9" t="str">
        <x:v>manage_cg_finance</x:v>
      </x:c>
      <x:c r="H9" t="str">
        <x:v>بر اساس نقش عملیاتی مصوب</x:v>
      </x:c>
    </x:row>
    <x:row r="10">
      <x:c r="A10" s="18" t="str">
        <x:v>Content Type</x:v>
      </x:c>
      <x:c r="B10" s="18" t="str">
        <x:v>video</x:v>
      </x:c>
      <x:c r="C10" s="18" t="str">
        <x:v>custom post type</x:v>
      </x:c>
      <x:c r="D10" s="18" t="str">
        <x:v>True</x:v>
      </x:c>
      <x:c r="E10" s="18" t="n">
        <x:v>2</x:v>
      </x:c>
    </x:row>
    <x:row r="11">
      <x:c r="A11" s="18" t="str">
        <x:v>Content Type</x:v>
      </x:c>
      <x:c r="B11" s="18" t="str">
        <x:v>place</x:v>
      </x:c>
      <x:c r="C11" s="18" t="str">
        <x:v>shared entity/taxonomy+meta</x:v>
      </x:c>
      <x:c r="D11" s="18" t="str">
        <x:v>False</x:v>
      </x:c>
      <x:c r="E11" s="18" t="n">
        <x:v>1</x:v>
      </x:c>
    </x:row>
    <x:row r="12">
      <x:c r="A12" s="18" t="str">
        <x:v>Base Table</x:v>
      </x:c>
      <x:c r="B12" s="18" t="str">
        <x:v>cg_entity_relations</x:v>
      </x:c>
      <x:c r="C12" s="18" t="str">
        <x:v>typed relations between canonical entities</x:v>
      </x:c>
      <x:c r="D12" s="18" t="str">
        <x:v>خیر</x:v>
      </x:c>
      <x:c r="E12" s="18" t="n">
        <x:v>1</x:v>
      </x:c>
    </x:row>
    <x:row r="13">
      <x:c r="A13" s="18" t="str">
        <x:v>Base Table</x:v>
      </x:c>
      <x:c r="B13" s="18" t="str">
        <x:v>cg_notification_events</x:v>
      </x:c>
      <x:c r="C13" s="18" t="str">
        <x:v>event outbox and delivery status</x:v>
      </x:c>
      <x:c r="D13" s="18" t="str">
        <x:v>خیر</x:v>
      </x:c>
      <x:c r="E13" s="18" t="n">
        <x:v>1</x:v>
      </x:c>
    </x:row>
    <x:row r="14">
      <x:c r="A14" s="18" t="str">
        <x:v>Base Table</x:v>
      </x:c>
      <x:c r="B14" s="18" t="str">
        <x:v>cg_audit_log</x:v>
      </x:c>
      <x:c r="C14" s="18" t="str">
        <x:v>critical business and admin changes</x:v>
      </x:c>
      <x:c r="D14" s="18" t="str">
        <x:v>خیر</x:v>
      </x:c>
      <x:c r="E14" s="18" t="n">
        <x:v>1</x:v>
      </x:c>
    </x:row>
    <x:row r="15">
      <x:c r="A15" s="18" t="str">
        <x:v>Base Table</x:v>
      </x:c>
      <x:c r="B15" s="18" t="str">
        <x:v>cg_schema_migrations</x:v>
      </x:c>
      <x:c r="C15" s="18" t="str">
        <x:v>versioned database migrations</x:v>
      </x:c>
      <x:c r="D15" s="18" t="str">
        <x:v>خیر</x:v>
      </x:c>
      <x:c r="E15" s="18" t="n">
        <x:v>1</x:v>
      </x:c>
    </x:row>
    <x:row r="16">
      <x:c r="A16" s="18" t="str">
        <x:v>Future Rental Table</x:v>
      </x:c>
      <x:c r="B16" s="18" t="str">
        <x:v>cg_media_assets</x:v>
      </x:c>
      <x:c r="C16" s="18" t="str">
        <x:v>installed rentable media units</x:v>
      </x:c>
      <x:c r="D16" s="18" t="str">
        <x:v>خیر</x:v>
      </x:c>
      <x:c r="E16" s="18" t="n">
        <x:v>4</x:v>
      </x:c>
    </x:row>
    <x:row r="17">
      <x:c r="A17" s="18" t="str">
        <x:v>Future Rental Table</x:v>
      </x:c>
      <x:c r="B17" s="18" t="str">
        <x:v>cg_availability_periods</x:v>
      </x:c>
      <x:c r="C17" s="18" t="str">
        <x:v>month/date availability</x:v>
      </x:c>
      <x:c r="D17" s="18" t="str">
        <x:v>خیر</x:v>
      </x:c>
      <x:c r="E17" s="18" t="n">
        <x:v>4</x:v>
      </x:c>
    </x:row>
    <x:row r="18">
      <x:c r="A18" s="18" t="str">
        <x:v>Future Rental Table</x:v>
      </x:c>
      <x:c r="B18" s="18" t="str">
        <x:v>cg_booking_holds</x:v>
      </x:c>
      <x:c r="C18" s="18" t="str">
        <x:v>temporary concurrency locks</x:v>
      </x:c>
      <x:c r="D18" s="18" t="str">
        <x:v>خیر</x:v>
      </x:c>
      <x:c r="E18" s="18" t="n">
        <x:v>4</x:v>
      </x:c>
    </x:row>
    <x:row r="19">
      <x:c r="A19" s="18" t="str">
        <x:v>Future Rental Table</x:v>
      </x:c>
      <x:c r="B19" s="18" t="str">
        <x:v>cg_reservations</x:v>
      </x:c>
      <x:c r="C19" s="18" t="str">
        <x:v>confirmed rental records</x:v>
      </x:c>
      <x:c r="D19" s="18" t="str">
        <x:v>خیر</x:v>
      </x:c>
      <x:c r="E19" s="18" t="n">
        <x:v>4</x:v>
      </x:c>
    </x:row>
    <x:row r="20">
      <x:c r="A20" s="18" t="str">
        <x:v>Future Rental Table</x:v>
      </x:c>
      <x:c r="B20" s="18" t="str">
        <x:v>cg_rate_plans</x:v>
      </x:c>
      <x:c r="C20" s="18" t="str">
        <x:v>rental pricing and deposit policy</x:v>
      </x:c>
      <x:c r="D20" s="18" t="str">
        <x:v>خیر</x:v>
      </x:c>
      <x:c r="E20" s="18" t="n">
        <x:v>4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9" hidden="0" customWidth="1"/>
    <x:col min="3" max="3" width="40" hidden="0" customWidth="1"/>
    <x:col min="4" max="4" width="55" hidden="0" customWidth="1"/>
    <x:col min="5" max="5" width="35" hidden="0" customWidth="1"/>
    <x:col min="6" max="6" width="18" hidden="0" customWidth="1"/>
    <x:col min="7" max="7" width="20" hidden="0" customWidth="1"/>
    <x:col min="8" max="8" width="18" hidden="0" customWidth="1"/>
  </x:cols>
  <x:sheetData>
    <x:row r="1">
      <x:c r="A1" s="23" t="str">
        <x:v>کد</x:v>
      </x:c>
      <x:c r="B1" s="23" t="str">
        <x:v>فاز</x:v>
      </x:c>
      <x:c r="C1" s="23" t="str">
        <x:v>کنترل</x:v>
      </x:c>
      <x:c r="D1" s="23" t="str">
        <x:v>روش آزمون</x:v>
      </x:c>
      <x:c r="E1" s="23" t="str">
        <x:v>شاهد لازم</x:v>
      </x:c>
      <x:c r="F1" s="23" t="str">
        <x:v>وضعیت</x:v>
      </x:c>
      <x:c r="G1" s="23" t="str">
        <x:v>مسئول</x:v>
      </x:c>
      <x:c r="H1" s="23" t="str">
        <x:v>مانع انتشار</x:v>
      </x:c>
    </x:row>
    <x:row r="2">
      <x:c r="A2" s="18" t="str">
        <x:v>AF-01</x:v>
      </x:c>
      <x:c r="B2" s="18" t="n">
        <x:v>0</x:v>
      </x:c>
      <x:c r="C2" s="18" t="str">
        <x:v>Staging مستقل است</x:v>
      </x:c>
      <x:c r="D2" s="18" t="str">
        <x:v>URL و تنظیمات را بررسی کنید</x:v>
      </x:c>
      <x:c r="E2" s="18" t="str">
        <x:v>اسکرین‌شات و URL</x:v>
      </x:c>
      <x:c r="F2" s="18" t="str">
        <x:v>باز</x:v>
      </x:c>
      <x:c r="G2" s="18" t="str">
        <x:v>عباس</x:v>
      </x:c>
      <x:c r="H2" s="18" t="str">
        <x:v>بله</x:v>
      </x:c>
    </x:row>
    <x:row r="3">
      <x:c r="A3" s="18" t="str">
        <x:v>AF-02</x:v>
      </x:c>
      <x:c r="B3" s="18" t="n">
        <x:v>0</x:v>
      </x:c>
      <x:c r="C3" s="18" t="str">
        <x:v>Backup و Restore واقعی پاس است</x:v>
      </x:c>
      <x:c r="D3" s="18" t="str">
        <x:v>بکاپ بگیرید و روی محیط آزمایشی Restore کنید</x:v>
      </x:c>
      <x:c r="E3" s="18" t="str">
        <x:v>Log و زمان Restore</x:v>
      </x:c>
      <x:c r="F3" s="18" t="str">
        <x:v>باز</x:v>
      </x:c>
      <x:c r="G3" s="18" t="str">
        <x:v>عباس</x:v>
      </x:c>
      <x:c r="H3" s="18" t="str">
        <x:v>بله</x:v>
      </x:c>
    </x:row>
    <x:row r="4">
      <x:c r="A4" s="18" t="str">
        <x:v>AF-03</x:v>
      </x:c>
      <x:c r="B4" s="18" t="n">
        <x:v>1</x:v>
      </x:c>
      <x:c r="C4" s="18" t="str">
        <x:v>Theme بدون منطق دامنه است</x:v>
      </x:c>
      <x:c r="D4" s="18" t="str">
        <x:v>Code review</x:v>
      </x:c>
      <x:c r="E4" s="18" t="str">
        <x:v>گزارش پوشه‌ها و Hookها</x:v>
      </x:c>
      <x:c r="F4" s="18" t="str">
        <x:v>باز</x:v>
      </x:c>
      <x:c r="G4" s="18" t="str">
        <x:v>عباس/QC</x:v>
      </x:c>
      <x:c r="H4" s="18" t="str">
        <x:v>بله</x:v>
      </x:c>
    </x:row>
    <x:row r="5">
      <x:c r="A5" s="18" t="str">
        <x:v>AF-04</x:v>
      </x:c>
      <x:c r="B5" s="18" t="n">
        <x:v>1</x:v>
      </x:c>
      <x:c r="C5" s="18" t="str">
        <x:v>Core plugin و Migration versioning فعال است</x:v>
      </x:c>
      <x:c r="D5" s="18" t="str">
        <x:v>نصب تمیز و Upgrade test</x:v>
      </x:c>
      <x:c r="E5" s="18" t="str">
        <x:v>Log Migration</x:v>
      </x:c>
      <x:c r="F5" s="18" t="str">
        <x:v>باز</x:v>
      </x:c>
      <x:c r="G5" s="18" t="str">
        <x:v>عباس</x:v>
      </x:c>
      <x:c r="H5" s="18" t="str">
        <x:v>بله</x:v>
      </x:c>
    </x:row>
    <x:row r="6">
      <x:c r="A6" s="18" t="str">
        <x:v>AF-05</x:v>
      </x:c>
      <x:c r="B6" s="18" t="n">
        <x:v>1</x:v>
      </x:c>
      <x:c r="C6" s="18" t="str">
        <x:v>Product یک‌بار تعریف می‌شود</x:v>
      </x:c>
      <x:c r="D6" s="18" t="str">
        <x:v>یک Variant را در Shop، Service و Project نمایش دهید</x:v>
      </x:c>
      <x:c r="E6" s="18" t="str">
        <x:v>سه URL با یک ID</x:v>
      </x:c>
      <x:c r="F6" s="18" t="str">
        <x:v>باز</x:v>
      </x:c>
      <x:c r="G6" s="18" t="str">
        <x:v>عباس/QC</x:v>
      </x:c>
      <x:c r="H6" s="18" t="str">
        <x:v>بله</x:v>
      </x:c>
    </x:row>
    <x:row r="7">
      <x:c r="A7" s="18" t="str">
        <x:v>AF-06</x:v>
      </x:c>
      <x:c r="B7" s="18" t="n">
        <x:v>1</x:v>
      </x:c>
      <x:c r="C7" s="18" t="str">
        <x:v>Cart/Order Line registry توسعه‌پذیر است</x:v>
      </x:c>
      <x:c r="D7" s="18" t="str">
        <x:v>Line Type آزمایشی ثبت و حذف شود</x:v>
      </x:c>
      <x:c r="E7" s="18" t="str">
        <x:v>Unit/Integration test</x:v>
      </x:c>
      <x:c r="F7" s="18" t="str">
        <x:v>باز</x:v>
      </x:c>
      <x:c r="G7" s="18" t="str">
        <x:v>عباس</x:v>
      </x:c>
      <x:c r="H7" s="18" t="str">
        <x:v>بله</x:v>
      </x:c>
    </x:row>
    <x:row r="8">
      <x:c r="A8" s="18" t="str">
        <x:v>AF-07</x:v>
      </x:c>
      <x:c r="B8" s="18" t="n">
        <x:v>1</x:v>
      </x:c>
      <x:c r="C8" s="18" t="str">
        <x:v>Feature Flag اجاره را کامل مخفی می‌کند</x:v>
      </x:c>
      <x:c r="D8" s="18" t="str">
        <x:v>Flag off/on در Staging</x:v>
      </x:c>
      <x:c r="E8" s="18" t="str">
        <x:v>ویدئو یا screenshots</x:v>
      </x:c>
      <x:c r="F8" s="18" t="str">
        <x:v>باز</x:v>
      </x:c>
      <x:c r="G8" s="18" t="str">
        <x:v>عباس/QC</x:v>
      </x:c>
      <x:c r="H8" s="18" t="str">
        <x:v>بله</x:v>
      </x:c>
    </x:row>
    <x:row r="9">
      <x:c r="A9" s="18" t="str">
        <x:v>AF-08</x:v>
      </x:c>
      <x:c r="B9" s="18" t="n">
        <x:v>1</x:v>
      </x:c>
      <x:c r="C9" s="18" t="str">
        <x:v>Routeهای اجاره رزرو و Noindex هستند</x:v>
      </x:c>
      <x:c r="D9" s="18" t="str">
        <x:v>Route/API/XML Sitemap بررسی شود</x:v>
      </x:c>
      <x:c r="E9" s="18" t="str">
        <x:v>Crawl report</x:v>
      </x:c>
      <x:c r="F9" s="18" t="str">
        <x:v>باز</x:v>
      </x:c>
      <x:c r="G9" s="18" t="str">
        <x:v>عباس/QC</x:v>
      </x:c>
      <x:c r="H9" s="18" t="str">
        <x:v>بله</x:v>
      </x:c>
    </x:row>
    <x:row r="10">
      <x:c r="A10" s="18" t="str">
        <x:v>AF-09</x:v>
      </x:c>
      <x:c r="B10" s="18" t="n">
        <x:v>1</x:v>
      </x:c>
      <x:c r="C10" s="18" t="str">
        <x:v>Notification event از Template جدا است</x:v>
      </x:c>
      <x:c r="D10" s="18" t="str">
        <x:v>رویداد آزمایشی به Outbox برسد</x:v>
      </x:c>
      <x:c r="E10" s="18" t="str">
        <x:v>DB/log evidence</x:v>
      </x:c>
      <x:c r="F10" s="18" t="str">
        <x:v>باز</x:v>
      </x:c>
      <x:c r="G10" s="18" t="str">
        <x:v>عباس</x:v>
      </x:c>
      <x:c r="H10" s="18" t="str">
        <x:v>بله</x:v>
      </x:c>
    </x:row>
    <x:row r="11">
      <x:c r="A11" s="18" t="str">
        <x:v>AF-10</x:v>
      </x:c>
      <x:c r="B11" s="18" t="n">
        <x:v>1</x:v>
      </x:c>
      <x:c r="C11" s="18" t="str">
        <x:v>قیمت سمت سرور محاسبه می‌شود</x:v>
      </x:c>
      <x:c r="D11" s="18" t="str">
        <x:v>درخواست Client را دستکاری کنید</x:v>
      </x:c>
      <x:c r="E11" s="18" t="str">
        <x:v>Security test</x:v>
      </x:c>
      <x:c r="F11" s="18" t="str">
        <x:v>باز</x:v>
      </x:c>
      <x:c r="G11" s="18" t="str">
        <x:v>عباس/QC</x:v>
      </x:c>
      <x:c r="H11" s="18" t="str">
        <x:v>بله</x:v>
      </x:c>
    </x:row>
    <x:row r="12">
      <x:c r="A12" s="18" t="str">
        <x:v>AF-11</x:v>
      </x:c>
      <x:c r="B12" s="18" t="n">
        <x:v>2</x:v>
      </x:c>
      <x:c r="C12" s="18" t="str">
        <x:v>هوم یک DOM مشترک دارد</x:v>
      </x:c>
      <x:c r="D12" s="18" t="str">
        <x:v>DOM desktop/mobile مقایسه شود</x:v>
      </x:c>
      <x:c r="E12" s="18" t="str">
        <x:v>Test report</x:v>
      </x:c>
      <x:c r="F12" s="18" t="str">
        <x:v>باز</x:v>
      </x:c>
      <x:c r="G12" s="18" t="str">
        <x:v>عباس/QC</x:v>
      </x:c>
      <x:c r="H12" s="18" t="str">
        <x:v>بله</x:v>
      </x:c>
    </x:row>
    <x:row r="13">
      <x:c r="A13" s="18" t="str">
        <x:v>AF-12</x:v>
      </x:c>
      <x:c r="B13" s="18" t="n">
        <x:v>2</x:v>
      </x:c>
      <x:c r="C13" s="18" t="str">
        <x:v>مگامنو و Drawer از یک Registry هستند</x:v>
      </x:c>
      <x:c r="D13" s="18" t="str">
        <x:v>یک لینک را تغییر دهید و هر دو به‌روزرسانی شوند</x:v>
      </x:c>
      <x:c r="E13" s="18" t="str">
        <x:v>شاهد before/after</x:v>
      </x:c>
      <x:c r="F13" s="18" t="str">
        <x:v>باز</x:v>
      </x:c>
      <x:c r="G13" s="18" t="str">
        <x:v>عباس/QC</x:v>
      </x:c>
      <x:c r="H13" s="18" t="str">
        <x:v>بله</x:v>
      </x:c>
    </x:row>
    <x:row r="14">
      <x:c r="A14" s="18" t="str">
        <x:v>AF-13</x:v>
      </x:c>
      <x:c r="B14" s="18" t="n">
        <x:v>2</x:v>
      </x:c>
      <x:c r="C14" s="18" t="str">
        <x:v>هوم داده هاردکد Production ندارد</x:v>
      </x:c>
      <x:c r="D14" s="18" t="str">
        <x:v>Code/content audit</x:v>
      </x:c>
      <x:c r="E14" s="18" t="str">
        <x:v>گزارش منبع داده</x:v>
      </x:c>
      <x:c r="F14" s="18" t="str">
        <x:v>باز</x:v>
      </x:c>
      <x:c r="G14" s="18" t="str">
        <x:v>عباس/QC</x:v>
      </x:c>
      <x:c r="H14" s="18" t="str">
        <x:v>بله</x:v>
      </x:c>
    </x:row>
    <x:row r="15">
      <x:c r="A15" s="18" t="str">
        <x:v>AF-14</x:v>
      </x:c>
      <x:c r="B15" s="18" t="n">
        <x:v>2</x:v>
      </x:c>
      <x:c r="C15" s="18" t="str">
        <x:v>Responsive بدون Overflow است</x:v>
      </x:c>
      <x:c r="D15" s="18" t="str">
        <x:v>1440/1024/768/390/360</x:v>
      </x:c>
      <x:c r="E15" s="18" t="str">
        <x:v>Screenshots</x:v>
      </x:c>
      <x:c r="F15" s="18" t="str">
        <x:v>باز</x:v>
      </x:c>
      <x:c r="G15" s="18" t="str">
        <x:v>QC</x:v>
      </x:c>
      <x:c r="H15" s="18" t="str">
        <x:v>بله</x:v>
      </x:c>
    </x:row>
    <x:row r="16">
      <x:c r="A16" s="18" t="str">
        <x:v>AF-15</x:v>
      </x:c>
      <x:c r="B16" s="18" t="n">
        <x:v>2</x:v>
      </x:c>
      <x:c r="C16" s="18" t="str">
        <x:v>Accessibility پایه پاس است</x:v>
      </x:c>
      <x:c r="D16" s="18" t="str">
        <x:v>Keyboard, labels, focus, contrast</x:v>
      </x:c>
      <x:c r="E16" s="18" t="str">
        <x:v>Audit report</x:v>
      </x:c>
      <x:c r="F16" s="18" t="str">
        <x:v>باز</x:v>
      </x:c>
      <x:c r="G16" s="18" t="str">
        <x:v>QC</x:v>
      </x:c>
      <x:c r="H16" s="18" t="str">
        <x:v>بله</x:v>
      </x:c>
    </x:row>
    <x:row r="17">
      <x:c r="A17" s="18" t="str">
        <x:v>AF-16</x:v>
      </x:c>
      <x:c r="B17" s="18" t="n">
        <x:v>3</x:v>
      </x:c>
      <x:c r="C17" s="18" t="str">
        <x:v>Templateها Component مشترک دارند</x:v>
      </x:c>
      <x:c r="D17" s="18" t="str">
        <x:v>Code review و snapshot</x:v>
      </x:c>
      <x:c r="E17" s="18" t="str">
        <x:v>گزارش reuse</x:v>
      </x:c>
      <x:c r="F17" s="18" t="str">
        <x:v>باز</x:v>
      </x:c>
      <x:c r="G17" s="18" t="str">
        <x:v>عباس/QC</x:v>
      </x:c>
      <x:c r="H17" s="18" t="str">
        <x:v>بله</x:v>
      </x:c>
    </x:row>
    <x:row r="18">
      <x:c r="A18" s="18" t="str">
        <x:v>AF-17</x:v>
      </x:c>
      <x:c r="B18" s="18" t="n">
        <x:v>3</x:v>
      </x:c>
      <x:c r="C18" s="18" t="str">
        <x:v>Internal link و Canonical صحیح است</x:v>
      </x:c>
      <x:c r="D18" s="18" t="str">
        <x:v>Crawl Staging</x:v>
      </x:c>
      <x:c r="E18" s="18" t="str">
        <x:v>Crawl report</x:v>
      </x:c>
      <x:c r="F18" s="18" t="str">
        <x:v>باز</x:v>
      </x:c>
      <x:c r="G18" s="18" t="str">
        <x:v>QC</x:v>
      </x:c>
      <x:c r="H18" s="18" t="str">
        <x:v>بله</x:v>
      </x:c>
    </x:row>
    <x:row r="19">
      <x:c r="A19" s="18" t="str">
        <x:v>AF-18</x:v>
      </x:c>
      <x:c r="B19" s="18" t="n">
        <x:v>4</x:v>
      </x:c>
      <x:c r="C19" s="18" t="str">
        <x:v>Hold از Double Booking جلوگیری می‌کند</x:v>
      </x:c>
      <x:c r="D19" s="18" t="str">
        <x:v>دو Session هم‌زمان</x:v>
      </x:c>
      <x:c r="E19" s="18" t="str">
        <x:v>Integration test</x:v>
      </x:c>
      <x:c r="F19" s="18" t="str">
        <x:v>آینده</x:v>
      </x:c>
      <x:c r="G19" s="18" t="str">
        <x:v>عباس/QC</x:v>
      </x:c>
      <x:c r="H19" s="18" t="str">
        <x:v>بله</x:v>
      </x:c>
    </x:row>
    <x:row r="20">
      <x:c r="A20" s="18" t="str">
        <x:v>AF-19</x:v>
      </x:c>
      <x:c r="B20" s="18" t="n">
        <x:v>4</x:v>
      </x:c>
      <x:c r="C20" s="18" t="str">
        <x:v>پرداخت ناموفق Hold را آزاد می‌کند</x:v>
      </x:c>
      <x:c r="D20" s="18" t="str">
        <x:v>Sandbox failure</x:v>
      </x:c>
      <x:c r="E20" s="18" t="str">
        <x:v>Log و availability</x:v>
      </x:c>
      <x:c r="F20" s="18" t="str">
        <x:v>آینده</x:v>
      </x:c>
      <x:c r="G20" s="18" t="str">
        <x:v>عباس/QC</x:v>
      </x:c>
      <x:c r="H20" s="18" t="str">
        <x:v>بله</x:v>
      </x:c>
    </x:row>
    <x:row r="21">
      <x:c r="A21" s="18" t="str">
        <x:v>AF-20</x:v>
      </x:c>
      <x:c r="B21" s="18" t="n">
        <x:v>4</x:v>
      </x:c>
      <x:c r="C21" s="18" t="str">
        <x:v>SMS پس از Commit ارسال می‌شود</x:v>
      </x:c>
      <x:c r="D21" s="18" t="str">
        <x:v>Sandbox event</x:v>
      </x:c>
      <x:c r="E21" s="18" t="str">
        <x:v>Delivery log</x:v>
      </x:c>
      <x:c r="F21" s="18" t="str">
        <x:v>آینده</x:v>
      </x:c>
      <x:c r="G21" s="18" t="str">
        <x:v>عباس/QC</x:v>
      </x:c>
      <x:c r="H21" s="18" t="str">
        <x:v>بله</x:v>
      </x:c>
    </x:row>
    <x:row r="22">
      <x:c r="A22" t="str">
        <x:v>AF-21</x:v>
      </x:c>
      <x:c r="B22" t="n">
        <x:v>1</x:v>
      </x:c>
      <x:c r="C22" t="str">
        <x:v>Policy Registry دامنه‌های دسترسی را پشتیبانی می‌کند</x:v>
      </x:c>
      <x:c r="D22" t="str">
        <x:v>public/authenticated/role/customer-restricted را با تست واحد ثبت کنید</x:v>
      </x:c>
      <x:c r="E22" t="str">
        <x:v>Unit test + config snapshot</x:v>
      </x:c>
      <x:c r="F22" t="str">
        <x:v>باز</x:v>
      </x:c>
      <x:c r="G22" t="str">
        <x:v>عباس/QC</x:v>
      </x:c>
      <x:c r="H22" t="str">
        <x:v>بله</x:v>
      </x:c>
    </x:row>
    <x:row r="23">
      <x:c r="A23" t="str">
        <x:v>AF-22</x:v>
      </x:c>
      <x:c r="B23" t="n">
        <x:v>1</x:v>
      </x:c>
      <x:c r="C23" t="str">
        <x:v>نقاط اتصال آینده بدون ساخت ماژول وجود دارند</x:v>
      </x:c>
      <x:c r="D23" t="str">
        <x:v>Ticket/Conversation/Attachment/CreativeApproval/Rental mounts را بررسی کنید</x:v>
      </x:c>
      <x:c r="E23" t="str">
        <x:v>Registry + code evidence</x:v>
      </x:c>
      <x:c r="F23" t="str">
        <x:v>باز</x:v>
      </x:c>
      <x:c r="G23" t="str">
        <x:v>عباس/QC</x:v>
      </x:c>
      <x:c r="H23" t="str">
        <x:v>بله</x:v>
      </x:c>
    </x:row>
    <x:row r="24">
      <x:c r="A24" t="str">
        <x:v>AF-23</x:v>
      </x:c>
      <x:c r="B24" t="n">
        <x:v>4</x:v>
      </x:c>
      <x:c r="C24" t="str">
        <x:v>مهمان قیمت و تقویم اجاره را نمی‌بیند</x:v>
      </x:c>
      <x:c r="D24" t="str">
        <x:v>Anonymous API/UI test و Login challenge</x:v>
      </x:c>
      <x:c r="E24" t="str">
        <x:v>Security + browser evidence</x:v>
      </x:c>
      <x:c r="F24" t="str">
        <x:v>آینده</x:v>
      </x:c>
      <x:c r="G24" t="str">
        <x:v>عباس/QC</x:v>
      </x:c>
      <x:c r="H24" t="str">
        <x:v>بله</x:v>
      </x:c>
    </x:row>
    <x:row r="25">
      <x:c r="A25" t="str">
        <x:v>AF-24</x:v>
      </x:c>
      <x:c r="B25" t="n">
        <x:v>4</x:v>
      </x:c>
      <x:c r="C25" t="str">
        <x:v>Protected Hold فقط برای مشتری منتخب قابل مشاهده است</x:v>
      </x:c>
      <x:c r="D25" t="str">
        <x:v>سه Session: مهمان، مشتری دیگر، مشتری منتخب</x:v>
      </x:c>
      <x:c r="E25" t="str">
        <x:v>Integration test + audit log</x:v>
      </x:c>
      <x:c r="F25" t="str">
        <x:v>آینده</x:v>
      </x:c>
      <x:c r="G25" t="str">
        <x:v>عباس/QC</x:v>
      </x:c>
      <x:c r="H25" t="str">
        <x:v>بله</x:v>
      </x:c>
    </x:row>
    <x:row r="26">
      <x:c r="A26" t="str">
        <x:v>AF-25</x:v>
      </x:c>
      <x:c r="B26" t="n">
        <x:v>1</x:v>
      </x:c>
      <x:c r="C26" t="str">
        <x:v>ورود OTP موبایل جدید و موجود</x:v>
      </x:c>
      <x:c r="D26" t="str">
        <x:v>Create/restore same unique account</x:v>
      </x:c>
      <x:c r="E26" t="str">
        <x:v>Browser+API+DB</x:v>
      </x:c>
      <x:c r="F26" t="str">
        <x:v>باز</x:v>
      </x:c>
      <x:c r="G26" t="str">
        <x:v>عباس/QC</x:v>
      </x:c>
      <x:c r="H26" t="str">
        <x:v>بله</x:v>
      </x:c>
    </x:row>
    <x:row r="27">
      <x:c r="A27" t="str">
        <x:v>AF-26</x:v>
      </x:c>
      <x:c r="B27" t="n">
        <x:v>1</x:v>
      </x:c>
      <x:c r="C27" t="str">
        <x:v>Expiry/one-time/rate-limit</x:v>
      </x:c>
      <x:c r="D27" t="str">
        <x:v>Wrong/expired/reused/burst tests</x:v>
      </x:c>
      <x:c r="E27" t="str">
        <x:v>Security report</x:v>
      </x:c>
      <x:c r="F27" t="str">
        <x:v>باز</x:v>
      </x:c>
      <x:c r="G27" t="str">
        <x:v>عباس/QC</x:v>
      </x:c>
      <x:c r="H27" t="str">
        <x:v>بله</x:v>
      </x:c>
    </x:row>
    <x:row r="28">
      <x:c r="A28" t="str">
        <x:v>AF-27</x:v>
      </x:c>
      <x:c r="B28" t="n">
        <x:v>1</x:v>
      </x:c>
      <x:c r="C28" t="str">
        <x:v>مالکیت سفارش و فاکتور</x:v>
      </x:c>
      <x:c r="D28" t="str">
        <x:v>Two customers isolation</x:v>
      </x:c>
      <x:c r="E28" t="str">
        <x:v>Authorization test</x:v>
      </x:c>
      <x:c r="F28" t="str">
        <x:v>باز</x:v>
      </x:c>
      <x:c r="G28" t="str">
        <x:v>عباس/QC</x:v>
      </x:c>
      <x:c r="H28" t="str">
        <x:v>بله</x:v>
      </x:c>
    </x:row>
    <x:row r="29">
      <x:c r="A29" t="str">
        <x:v>AF-28</x:v>
      </x:c>
      <x:c r="B29" t="n">
        <x:v>1</x:v>
      </x:c>
      <x:c r="C29" t="str">
        <x:v>داشبورد پایه</x:v>
      </x:c>
      <x:c r="D29" t="str">
        <x:v>Overview/Orders/Invoices/Profile/Logout</x:v>
      </x:c>
      <x:c r="E29" t="str">
        <x:v>Browser evidence</x:v>
      </x:c>
      <x:c r="F29" t="str">
        <x:v>باز</x:v>
      </x:c>
      <x:c r="G29" t="str">
        <x:v>عباس/QC</x:v>
      </x:c>
      <x:c r="H29" t="str">
        <x:v>بله</x:v>
      </x:c>
    </x:row>
    <x:row r="30">
      <x:c r="A30" t="str">
        <x:v>AF-29</x:v>
      </x:c>
      <x:c r="B30" t="n">
        <x:v>1</x:v>
      </x:c>
      <x:c r="C30" t="str">
        <x:v>عدم ساخت زودهنگام</x:v>
      </x:c>
      <x:c r="D30" t="str">
        <x:v>No operational Rental/Ticket/CRM</x:v>
      </x:c>
      <x:c r="E30" t="str">
        <x:v>Code review</x:v>
      </x:c>
      <x:c r="F30" t="str">
        <x:v>باز</x:v>
      </x:c>
      <x:c r="G30" t="str">
        <x:v>مالک/QC</x:v>
      </x:c>
      <x:c r="H30" t="str">
        <x:v>بله</x:v>
      </x:c>
    </x:row>
    <x:row r="31">
      <x:c r="A31" t="str">
        <x:v>AF-30</x:v>
      </x:c>
      <x:c r="B31" t="n">
        <x:v>3</x:v>
      </x:c>
      <x:c r="C31" t="str">
        <x:v>قفل Routeها</x:v>
      </x:c>
      <x:c r="D31" t="str">
        <x:v>No change without approved migration</x:v>
      </x:c>
      <x:c r="E31" t="str">
        <x:v>Diff+crawl</x:v>
      </x:c>
      <x:c r="F31" t="str">
        <x:v>آینده</x:v>
      </x:c>
      <x:c r="G31" t="str">
        <x:v>عباس/QC</x:v>
      </x:c>
      <x:c r="H31" t="str">
        <x:v>بله</x:v>
      </x:c>
    </x:row>
    <x:row r="32">
      <x:c r="A32" t="str">
        <x:v>FQ-21</x:v>
      </x:c>
      <x:c r="B32" t="n">
        <x:v>1</x:v>
      </x:c>
      <x:c r="C32" t="str">
        <x:v>پوشش لینک داخلی هوم</x:v>
      </x:c>
      <x:c r="D32" t="str">
        <x:v>تمام ۱۰۷ صفحه فاز ۱ واجد Index از هوم حداقل یک لینک مستقیم دارند</x:v>
      </x:c>
      <x:c r="E32" t="str">
        <x:v>Automated route-to-home audit</x:v>
      </x:c>
      <x:c r="F32" t="str">
        <x:v>باز</x:v>
      </x:c>
      <x:c r="G32" t="str">
        <x:v>QC</x:v>
      </x:c>
      <x:c r="H32" t="str">
        <x:v>بله</x:v>
      </x:c>
    </x:row>
    <x:row r="33">
      <x:c r="A33" t="str">
        <x:v>FQ-22</x:v>
      </x:c>
      <x:c r="B33" t="n">
        <x:v>1</x:v>
      </x:c>
      <x:c r="C33" t="str">
        <x:v>هویت نسخه داخل هوم</x:v>
      </x:c>
      <x:c r="D33" t="str">
        <x:v>release/architecture/sourceOfTruth/title همگی v4.2 و فایل موجود باشند</x:v>
      </x:c>
      <x:c r="E33" t="str">
        <x:v>Static identity audit</x:v>
      </x:c>
      <x:c r="F33" t="str">
        <x:v>باز</x:v>
      </x:c>
      <x:c r="G33" t="str">
        <x:v>QC</x:v>
      </x:c>
      <x:c r="H33" t="str">
        <x:v>بله</x:v>
      </x:c>
    </x:row>
    <x:row r="34">
      <x:c r="A34" t="str">
        <x:v>FQ-23</x:v>
      </x:c>
      <x:c r="B34" t="n">
        <x:v>1</x:v>
      </x:c>
      <x:c r="C34" t="str">
        <x:v>Trailing slash هوم</x:v>
      </x:c>
      <x:c r="D34" t="str">
        <x:v>هیچ مسیر داخلی محتوایی بدون / پایانی نباشد</x:v>
      </x:c>
      <x:c r="E34" t="str">
        <x:v>Automated href audit</x:v>
      </x:c>
      <x:c r="F34" t="str">
        <x:v>باز</x:v>
      </x:c>
      <x:c r="G34" t="str">
        <x:v>QC</x:v>
      </x:c>
      <x:c r="H34" t="str">
        <x:v>بله</x:v>
      </x:c>
    </x:row>
    <x:row r="35">
      <x:c r="A35" t="str">
        <x:v>FQ-24</x:v>
      </x:c>
      <x:c r="B35" t="n">
        <x:v>1</x:v>
      </x:c>
      <x:c r="C35" t="str">
        <x:v>شعار برند در هوم</x:v>
      </x:c>
      <x:c r="D35" t="str">
        <x:v>عبارت «به آسمان سلام کن» حداقل یک بار قابل مشاهده باشد</x:v>
      </x:c>
      <x:c r="E35" t="str">
        <x:v>DOM/browser evidence</x:v>
      </x:c>
      <x:c r="F35" t="str">
        <x:v>باز</x:v>
      </x:c>
      <x:c r="G35" t="str">
        <x:v>مالک/QC</x:v>
      </x:c>
      <x:c r="H35" t="str">
        <x:v>بله</x:v>
      </x:c>
    </x:row>
    <x:row r="36">
      <x:c r="A36" t="str">
        <x:v>FQ-25</x:v>
      </x:c>
      <x:c r="B36" t="n">
        <x:v>1</x:v>
      </x:c>
      <x:c r="C36" t="str">
        <x:v>حفظ دیزاین مصوب</x:v>
      </x:c>
      <x:c r="D36" t="str">
        <x:v>۲۱ سکشن، مگامنو، موبایل و موشن‌ها حفظ شده باشند</x:v>
      </x:c>
      <x:c r="E36" t="str">
        <x:v>DOM signature + browser QC</x:v>
      </x:c>
      <x:c r="F36" t="str">
        <x:v>باز</x:v>
      </x:c>
      <x:c r="G36" t="str">
        <x:v>QC</x:v>
      </x:c>
      <x:c r="H36" t="str">
        <x:v>بله</x:v>
      </x:c>
    </x:row>
    <x:row r="37" ht="26.399999618530273" hidden="0" customHeight="1">
      <x:c r="A37" s="18" t="str">
        <x:v>FQ-26</x:v>
      </x:c>
      <x:c r="B37" s="18" t="n">
        <x:v>1</x:v>
      </x:c>
      <x:c r="C37" s="18" t="str">
        <x:v>ریشه‌ها و صفحات سیستمی Route Contract</x:v>
      </x:c>
      <x:c r="D37" s="18" t="str">
        <x:v>/printing/، /video/، /credentials/، /consulting/، /faq/، /privacy/ و /terms/ ثبت باشند</x:v>
      </x:c>
      <x:c r="E37" s="18" t="str">
        <x:v>JSON contract audit</x:v>
      </x:c>
      <x:c r="F37" s="18" t="str">
        <x:v>باز</x:v>
      </x:c>
      <x:c r="G37" s="18" t="str">
        <x:v>QC/عباس</x:v>
      </x:c>
      <x:c r="H37" s="18" t="str">
        <x:v>بله</x:v>
      </x:c>
    </x:row>
    <x:row r="38" ht="26.399999618530273" hidden="0" customHeight="1">
      <x:c r="A38" s="18" t="str">
        <x:v>FQ-27</x:v>
      </x:c>
      <x:c r="B38" s="18" t="n">
        <x:v>1</x:v>
      </x:c>
      <x:c r="C38" s="18" t="str">
        <x:v>تطبیق دقیق لینک‌های هوم با قرارداد</x:v>
      </x:c>
      <x:c r="D38" s="18" t="str">
        <x:v>هر href داخلی هوم پس از حذف fragment در Architecture یا Route Contract موجود باشد</x:v>
      </x:c>
      <x:c r="E38" s="18" t="str">
        <x:v>Automated exact-route audit</x:v>
      </x:c>
      <x:c r="F38" s="18" t="str">
        <x:v>باز</x:v>
      </x:c>
      <x:c r="G38" s="18" t="str">
        <x:v>QC</x:v>
      </x:c>
      <x:c r="H38" s="18" t="str">
        <x:v>بله</x:v>
      </x:c>
    </x:row>
    <x:row r="39" ht="26.399999618530273" hidden="0" customHeight="1">
      <x:c r="A39" s="18" t="str">
        <x:v>FQ-28</x:v>
      </x:c>
      <x:c r="B39" s="18" t="n">
        <x:v>1</x:v>
      </x:c>
      <x:c r="C39" s="18" t="str">
        <x:v>فایل‌های دانلودی هوم</x:v>
      </x:c>
      <x:c r="D39" s="18" t="str">
        <x:v>/catalog/chatreghermez-services.pdf و /downloads/rahnama-cheklist.pdf پیش از لانچ HTTP 200 بدهند</x:v>
      </x:c>
      <x:c r="E39" s="18" t="str">
        <x:v>HTTP HEAD/GET + content-type audit</x:v>
      </x:c>
      <x:c r="F39" s="18" t="str">
        <x:v>باز</x:v>
      </x:c>
      <x:c r="G39" s="18" t="str">
        <x:v>عباس/QC</x:v>
      </x:c>
      <x:c r="H39" s="18" t="str">
        <x:v>بله</x:v>
      </x:c>
    </x:row>
  </x:sheetData>
  <x:conditionalFormatting sqref="F2:F21">
    <x:cfRule type="expression" dxfId="2" priority="1">
      <x:formula>F2="پاس"</x:formula>
    </x:cfRule>
    <x:cfRule type="expression" dxfId="3" priority="2">
      <x:formula>F2="ناموفق"</x:formula>
    </x:cfRule>
    <x:cfRule type="expression" dxfId="4" priority="3">
      <x:formula>F2="آینده"</x:formula>
    </x:cfRule>
  </x:conditionalFormatting>
  <x:dataValidations count="1">
    <x:dataValidation type="list" sqref="F2:F21">
      <x:formula1>"باز,در حال اجرا,پاس,ناموفق,آینده"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50" hidden="0" customWidth="1"/>
    <x:col min="4" max="4" width="30" hidden="0" customWidth="1"/>
    <x:col min="5" max="5" width="24" hidden="0" customWidth="1"/>
    <x:col min="6" max="6" width="18" hidden="0" customWidth="1"/>
    <x:col min="7" max="7" width="40" hidden="0" customWidth="1"/>
  </x:cols>
  <x:sheetData>
    <x:row r="1">
      <x:c r="A1" s="23" t="str">
        <x:v>کد</x:v>
      </x:c>
      <x:c r="B1" s="23" t="str">
        <x:v>موضوع</x:v>
      </x:c>
      <x:c r="C1" s="23" t="str">
        <x:v>تصمیم/داده لازم</x:v>
      </x:c>
      <x:c r="D1" s="23" t="str">
        <x:v>زمان نیاز</x:v>
      </x:c>
      <x:c r="E1" s="23" t="str">
        <x:v>اثر بر فاز فعلی</x:v>
      </x:c>
      <x:c r="F1" s="23" t="str">
        <x:v>وضعیت</x:v>
      </x:c>
      <x:c r="G1" s="23" t="str">
        <x:v>توضیح</x:v>
      </x:c>
    </x:row>
    <x:row r="2">
      <x:c r="A2" s="18" t="str">
        <x:v>OWN-01</x:v>
      </x:c>
      <x:c r="B2" s="18" t="str">
        <x:v>اطلاعات حقوقی و تماس</x:v>
      </x:c>
      <x:c r="C2" s="18" t="str">
        <x:v>نام حقوقی، آدرس‌ها، تلفن‌ها و مسئول پاسخ‌گو</x:v>
      </x:c>
      <x:c r="D2" s="18" t="str">
        <x:v>قبل از Production هوم</x:v>
      </x:c>
      <x:c r="E2" s="18" t="str">
        <x:v>محتوایی</x:v>
      </x:c>
      <x:c r="F2" s="18" t="str">
        <x:v>باز</x:v>
      </x:c>
      <x:c r="G2" s="18" t="str"/>
    </x:row>
    <x:row r="3">
      <x:c r="A3" s="18" t="str">
        <x:v>OWN-02</x:v>
      </x:c>
      <x:c r="B3" s="18" t="str">
        <x:v>محصولات فروشگاه</x:v>
      </x:c>
      <x:c r="C3" s="18" t="str">
        <x:v>فهرست، Variant، قیمت، تحویل، گارانتی و تصاویر</x:v>
      </x:c>
      <x:c r="D3" s="18" t="str">
        <x:v>قبل از فعال‌سازی Checkout</x:v>
      </x:c>
      <x:c r="E3" s="18" t="str">
        <x:v>فاز ۱/۳</x:v>
      </x:c>
      <x:c r="F3" s="18" t="str">
        <x:v>باز</x:v>
      </x:c>
      <x:c r="G3" s="18" t="str"/>
    </x:row>
    <x:row r="4">
      <x:c r="A4" s="18" t="str">
        <x:v>OWN-03</x:v>
      </x:c>
      <x:c r="B4" s="18" t="str">
        <x:v>درگاه پرداخت</x:v>
      </x:c>
      <x:c r="C4" s="18" t="str">
        <x:v>انتخاب Provider و حساب حقوقی</x:v>
      </x:c>
      <x:c r="D4" s="18" t="str">
        <x:v>قبل از Sandbox</x:v>
      </x:c>
      <x:c r="E4" s="18" t="str">
        <x:v>فاز ۱</x:v>
      </x:c>
      <x:c r="F4" s="18" t="str">
        <x:v>باز</x:v>
      </x:c>
      <x:c r="G4" s="18" t="str"/>
    </x:row>
    <x:row r="5">
      <x:c r="A5" s="18" t="str">
        <x:v>OWN-04</x:v>
      </x:c>
      <x:c r="B5" s="18" t="str">
        <x:v>سامانه پیامکی</x:v>
      </x:c>
      <x:c r="C5" s="18" t="str">
        <x:v>Provider، Sender و Templateها</x:v>
      </x:c>
      <x:c r="D5" s="18" t="str">
        <x:v>قبل از فعال‌سازی SMS</x:v>
      </x:c>
      <x:c r="E5" s="18" t="str">
        <x:v>فاز ۱/۴</x:v>
      </x:c>
      <x:c r="F5" s="18" t="str">
        <x:v>باز</x:v>
      </x:c>
      <x:c r="G5" s="18" t="str"/>
    </x:row>
    <x:row r="6">
      <x:c r="A6" s="18" t="str">
        <x:v>OWN-05</x:v>
      </x:c>
      <x:c r="B6" s="18" t="str">
        <x:v>سیاست مالی فروش</x:v>
      </x:c>
      <x:c r="C6" s="18" t="str">
        <x:v>مالیات، حمل، نصب، لغو سفارش و بازپرداخت</x:v>
      </x:c>
      <x:c r="D6" s="18" t="str">
        <x:v>قبل از Checkout Production</x:v>
      </x:c>
      <x:c r="E6" s="18" t="str">
        <x:v>فاز ۱</x:v>
      </x:c>
      <x:c r="F6" s="18" t="str">
        <x:v>باز</x:v>
      </x:c>
      <x:c r="G6" s="18" t="str"/>
    </x:row>
    <x:row r="7">
      <x:c r="A7" s="18" t="str">
        <x:v>OWN-06</x:v>
      </x:c>
      <x:c r="B7" s="18" t="str">
        <x:v>سیاست اجاره</x:v>
      </x:c>
      <x:c r="C7" s="18" t="str">
        <x:v>بیعانه، لغو، مانده حساب، Hold و حداقل ماه</x:v>
      </x:c>
      <x:c r="D7" s="18" t="str">
        <x:v>پیش از فاز ۴</x:v>
      </x:c>
      <x:c r="E7" s="18" t="str">
        <x:v>آینده</x:v>
      </x:c>
      <x:c r="F7" s="18" t="str">
        <x:v>باز</x:v>
      </x:c>
      <x:c r="G7" s="18" t="str"/>
    </x:row>
    <x:row r="8">
      <x:c r="A8" s="18" t="str">
        <x:v>OWN-07</x:v>
      </x:c>
      <x:c r="B8" s="18" t="str">
        <x:v>داده پروژه‌ها</x:v>
      </x:c>
      <x:c r="C8" s="18" t="str">
        <x:v>نام، قرارداد، شهر، تصاویر و مجوز انتشار</x:v>
      </x:c>
      <x:c r="D8" s="18" t="str">
        <x:v>پیش از صفحات پروژه</x:v>
      </x:c>
      <x:c r="E8" s="18" t="str">
        <x:v>فاز ۳</x:v>
      </x:c>
      <x:c r="F8" s="18" t="str">
        <x:v>باز</x:v>
      </x:c>
      <x:c r="G8" s="18" t="str"/>
    </x:row>
    <x:row r="9">
      <x:c r="A9" s="18" t="str">
        <x:v>OWN-08</x:v>
      </x:c>
      <x:c r="B9" s="18" t="str">
        <x:v>داده رسانه‌ها</x:v>
      </x:c>
      <x:c r="C9" s="18" t="str">
        <x:v>کد، مختصات، دید، عکس، قیمت و تقویم</x:v>
      </x:c>
      <x:c r="D9" s="18" t="str">
        <x:v>پیش از Pilot اجاره</x:v>
      </x:c>
      <x:c r="E9" s="18" t="str">
        <x:v>آینده</x:v>
      </x:c>
      <x:c r="F9" s="18" t="str">
        <x:v>باز</x:v>
      </x:c>
      <x:c r="G9" s="18" t="str"/>
    </x:row>
    <x:row r="10">
      <x:c r="A10" s="18" t="str">
        <x:v>OWN-09</x:v>
      </x:c>
      <x:c r="B10" s="18" t="str">
        <x:v>نقش‌های داخلی</x:v>
      </x:c>
      <x:c r="C10" s="18" t="str">
        <x:v>اپراتور، فروش، مالی و مدیر پروژه</x:v>
      </x:c>
      <x:c r="D10" s="18" t="str">
        <x:v>پیش از پنل عملیات</x:v>
      </x:c>
      <x:c r="E10" s="18" t="str">
        <x:v>فاز ۱/۴</x:v>
      </x:c>
      <x:c r="F10" s="18" t="str">
        <x:v>باز</x:v>
      </x:c>
      <x:c r="G10" s="18" t="str"/>
    </x:row>
    <x:row r="11">
      <x:c r="A11" s="18" t="str">
        <x:v>OWN-10</x:v>
      </x:c>
      <x:c r="B11" s="18" t="str">
        <x:v>مهاجرت و Redirect</x:v>
      </x:c>
      <x:c r="C11" s="18" t="str">
        <x:v>تأیید URLها پس از GSC/Crawl</x:v>
      </x:c>
      <x:c r="D11" s="18" t="str">
        <x:v>قبل از Production</x:v>
      </x:c>
      <x:c r="E11" s="18" t="str">
        <x:v>فاز ۳</x:v>
      </x:c>
      <x:c r="F11" s="18" t="str">
        <x:v>باز</x:v>
      </x:c>
      <x:c r="G11" s="18" t="str"/>
    </x:row>
    <x:row r="12">
      <x:c r="A12" t="str">
        <x:v>OWN-11</x:v>
      </x:c>
      <x:c r="B12" t="str">
        <x:v>دسترسی قیمت و تقویم اجاره</x:v>
      </x:c>
      <x:c r="C12" t="str">
        <x:v>فقط مشتری واردشده مشاهده کند</x:v>
      </x:c>
      <x:c r="D12" t="str">
        <x:v>قفل معماری اکنون؛ اجرا فاز ۴</x:v>
      </x:c>
      <x:c r="E12" t="str">
        <x:v>Policy Hook فاز ۱</x:v>
      </x:c>
      <x:c r="F12" t="str">
        <x:v>قفل شده</x:v>
      </x:c>
      <x:c r="G12" t="str">
        <x:v>مهمان فقط معرفی و رسانه‌های عمومی تأییدشده را می‌بیند.</x:v>
      </x:c>
    </x:row>
    <x:row r="13">
      <x:c r="A13" t="str">
        <x:v>OWN-12</x:v>
      </x:c>
      <x:c r="B13" t="str">
        <x:v>رزرو خصوصی پیش از انتشار تقویم</x:v>
      </x:c>
      <x:c r="C13" t="str">
        <x:v>مدیر برای مشتری منتخب Protected Hold ایجاد کند</x:v>
      </x:c>
      <x:c r="D13" t="str">
        <x:v>قفل معماری اکنون؛ اجرا فاز ۴</x:v>
      </x:c>
      <x:c r="E13" t="str">
        <x:v>Policy/Entity Contract</x:v>
      </x:c>
      <x:c r="F13" t="str">
        <x:v>قفل شده</x:v>
      </x:c>
      <x:c r="G13" t="str">
        <x:v>برای سایر مشتریان مسدود و برای مشتری منتخب قابل مشاهده باشد.</x:v>
      </x:c>
    </x:row>
    <x:row r="14">
      <x:c r="A14" t="str">
        <x:v>OWN-13</x:v>
      </x:c>
      <x:c r="B14" t="str">
        <x:v>تیکت و گفتگوی پروژه</x:v>
      </x:c>
      <x:c r="C14" t="str">
        <x:v>پشتیبانی از متن، عکس/فایل و تأیید طرح</x:v>
      </x:c>
      <x:c r="D14" t="str">
        <x:v>فاز بعدی جداگانه</x:v>
      </x:c>
      <x:c r="E14" t="str">
        <x:v>فقط Extension Point</x:v>
      </x:c>
      <x:c r="F14" t="str">
        <x:v>ثبت شده</x:v>
      </x:c>
      <x:c r="G14" t="str">
        <x:v>در فاز ۱ نباید ماژول عملیاتی ساخته شود.</x:v>
      </x:c>
    </x:row>
    <x:row r="15">
      <x:c r="A15" t="str">
        <x:v>OWN-14</x:v>
      </x:c>
      <x:c r="B15" t="str">
        <x:v>حساب سازمانی چندکاربره</x:v>
      </x:c>
      <x:c r="C15" t="str">
        <x:v>نیاز فعلی نیست</x:v>
      </x:c>
      <x:c r="D15" t="str">
        <x:v>بک‌لاگ دورتر</x:v>
      </x:c>
      <x:c r="E15" t="str">
        <x:v>بدون اثر فاز فعلی</x:v>
      </x:c>
      <x:c r="F15" t="str">
        <x:v>تعویق</x:v>
      </x:c>
      <x:c r="G15" t="str">
        <x:v>نباید پیچیدگی فاز اول را افزایش دهد.</x:v>
      </x:c>
    </x:row>
    <x:row r="16">
      <x:c r="A16" t="str">
        <x:v>OWN-15</x:v>
      </x:c>
      <x:c r="B16" t="str">
        <x:v>هدف اول کسب‌وکار</x:v>
      </x:c>
      <x:c r="C16" t="str">
        <x:v>رتبه‌گیری، فروش و تجربه کاربری؛ سپس توسعه ماژول‌ها</x:v>
      </x:c>
      <x:c r="D16" t="str">
        <x:v>همه فازها</x:v>
      </x:c>
      <x:c r="E16" t="str">
        <x:v>معیار اولویت</x:v>
      </x:c>
      <x:c r="F16" t="str">
        <x:v>قفل شده</x:v>
      </x:c>
      <x:c r="G16" t="str">
        <x:v>هر قابلیت باید با ماتریس اولویت ارزیابی شود.</x:v>
      </x:c>
    </x:row>
    <x:row r="17">
      <x:c r="A17" t="str">
        <x:v>OWN-16</x:v>
      </x:c>
      <x:c r="B17" t="str">
        <x:v>ورود نسخه اولیه</x:v>
      </x:c>
      <x:c r="C17" t="str">
        <x:v>شماره موبایل و OTP</x:v>
      </x:c>
      <x:c r="D17" t="str">
        <x:v>فاز ۱</x:v>
      </x:c>
      <x:c r="E17" t="str">
        <x:v>OTP Contract</x:v>
      </x:c>
      <x:c r="F17" t="str">
        <x:v>قفل شده</x:v>
      </x:c>
      <x:c r="G17" t="str">
        <x:v>حساب پایه هم‌زمان ساخته شود.</x:v>
      </x:c>
    </x:row>
    <x:row r="18">
      <x:c r="A18" t="str">
        <x:v>OWN-17</x:v>
      </x:c>
      <x:c r="B18" t="str">
        <x:v>قفل معماری</x:v>
      </x:c>
      <x:c r="C18" t="str">
        <x:v>ایده تازه فقط بک‌لاگ تا چرخه ۳۰ روزه</x:v>
      </x:c>
      <x:c r="D18" t="str">
        <x:v>همه فازها</x:v>
      </x:c>
      <x:c r="E18" t="str">
        <x:v>Scope Freeze</x:v>
      </x:c>
      <x:c r="F18" t="str">
        <x:v>قفل شده</x:v>
      </x:c>
      <x:c r="G18" t="str">
        <x:v>استثنا فقط Blocker واقعی.</x:v>
      </x:c>
    </x:row>
  </x:sheetData>
  <x:dataValidations count="1">
    <x:dataValidation type="list" sqref="F2:F11">
      <x:formula1>"باز,در حال تهیه,تأیید,نامشخص"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6" hidden="0" customWidth="1"/>
    <x:col min="3" max="3" width="9" hidden="0" customWidth="1"/>
    <x:col min="4" max="4" width="34" hidden="0" customWidth="1"/>
    <x:col min="5" max="5" width="38" hidden="0" customWidth="1"/>
    <x:col min="6" max="6" width="16" hidden="0" customWidth="1"/>
    <x:col min="7" max="7" width="18" hidden="0" customWidth="1"/>
    <x:col min="8" max="8" width="22" hidden="0" customWidth="1"/>
  </x:cols>
  <x:sheetData>
    <x:row r="1">
      <x:c r="A1" s="23" t="str">
        <x:v>کد</x:v>
      </x:c>
      <x:c r="B1" s="23" t="str">
        <x:v>تحویل</x:v>
      </x:c>
      <x:c r="C1" s="23" t="str">
        <x:v>فاز</x:v>
      </x:c>
      <x:c r="D1" s="23" t="str">
        <x:v>فرمت/مسیر</x:v>
      </x:c>
      <x:c r="E1" s="23" t="str">
        <x:v>شاهد</x:v>
      </x:c>
      <x:c r="F1" s="23" t="str">
        <x:v>تاریخ</x:v>
      </x:c>
      <x:c r="G1" s="23" t="str">
        <x:v>وضعیت</x:v>
      </x:c>
      <x:c r="H1" s="23" t="str">
        <x:v>تأییدکننده</x:v>
      </x:c>
    </x:row>
    <x:row r="2">
      <x:c r="A2" s="18" t="str">
        <x:v>ABS-D01</x:v>
      </x:c>
      <x:c r="B2" s="18" t="str">
        <x:v>گزارش Preflight و محیط</x:v>
      </x:c>
      <x:c r="C2" s="18" t="str">
        <x:v>0</x:v>
      </x:c>
      <x:c r="D2" s="18" t="str">
        <x:v>Markdown/PDF + screenshots</x:v>
      </x:c>
      <x:c r="E2" s="18" t="str">
        <x:v>Git/Staging/Backup</x:v>
      </x:c>
      <x:c r="F2" s="18" t="str"/>
      <x:c r="G2" s="18" t="str">
        <x:v>باز</x:v>
      </x:c>
      <x:c r="H2" s="18" t="str">
        <x:v>مالک/QC</x:v>
      </x:c>
    </x:row>
    <x:row r="3">
      <x:c r="A3" s="18" t="str">
        <x:v>ABS-D02</x:v>
      </x:c>
      <x:c r="B3" s="18" t="str">
        <x:v>Repository structure</x:v>
      </x:c>
      <x:c r="C3" s="18" t="str">
        <x:v>1</x:v>
      </x:c>
      <x:c r="D3" s="18" t="str">
        <x:v>Git tree</x:v>
      </x:c>
      <x:c r="E3" s="18" t="str">
        <x:v>Theme/Core plugin/Tests</x:v>
      </x:c>
      <x:c r="F3" s="18" t="str"/>
      <x:c r="G3" s="18" t="str">
        <x:v>باز</x:v>
      </x:c>
      <x:c r="H3" s="18" t="str">
        <x:v>QC</x:v>
      </x:c>
    </x:row>
    <x:row r="4">
      <x:c r="A4" s="18" t="str">
        <x:v>ABS-D03</x:v>
      </x:c>
      <x:c r="B4" s="18" t="str">
        <x:v>Migration report</x:v>
      </x:c>
      <x:c r="C4" s="18" t="str">
        <x:v>1</x:v>
      </x:c>
      <x:c r="D4" s="18" t="str">
        <x:v>Log + schema version</x:v>
      </x:c>
      <x:c r="E4" s="18" t="str">
        <x:v>clean install/upgrade</x:v>
      </x:c>
      <x:c r="F4" s="18" t="str"/>
      <x:c r="G4" s="18" t="str">
        <x:v>باز</x:v>
      </x:c>
      <x:c r="H4" s="18" t="str">
        <x:v>QC</x:v>
      </x:c>
    </x:row>
    <x:row r="5">
      <x:c r="A5" s="18" t="str">
        <x:v>ABS-D04</x:v>
      </x:c>
      <x:c r="B5" s="18" t="str">
        <x:v>Entity and route implementation</x:v>
      </x:c>
      <x:c r="C5" s="18" t="str">
        <x:v>1</x:v>
      </x:c>
      <x:c r="D5" s="18" t="str">
        <x:v>Staging URLs/API</x:v>
      </x:c>
      <x:c r="E5" s="18" t="str">
        <x:v>AF-05/08 evidence</x:v>
      </x:c>
      <x:c r="F5" s="18" t="str"/>
      <x:c r="G5" s="18" t="str">
        <x:v>باز</x:v>
      </x:c>
      <x:c r="H5" s="18" t="str">
        <x:v>QC</x:v>
      </x:c>
    </x:row>
    <x:row r="6">
      <x:c r="A6" s="18" t="str">
        <x:v>ABS-D05</x:v>
      </x:c>
      <x:c r="B6" s="18" t="str">
        <x:v>Commerce core sandbox</x:v>
      </x:c>
      <x:c r="C6" s="18" t="str">
        <x:v>1</x:v>
      </x:c>
      <x:c r="D6" s="18" t="str">
        <x:v>Cart/Checkout/Order</x:v>
      </x:c>
      <x:c r="E6" s="18" t="str">
        <x:v>AF-06/10 evidence</x:v>
      </x:c>
      <x:c r="F6" s="18" t="str"/>
      <x:c r="G6" s="18" t="str">
        <x:v>باز</x:v>
      </x:c>
      <x:c r="H6" s="18" t="str">
        <x:v>مالک/QC</x:v>
      </x:c>
    </x:row>
    <x:row r="7">
      <x:c r="A7" s="18" t="str">
        <x:v>ABS-D06</x:v>
      </x:c>
      <x:c r="B7" s="18" t="str">
        <x:v>Home implementation</x:v>
      </x:c>
      <x:c r="C7" s="18" t="str">
        <x:v>2</x:v>
      </x:c>
      <x:c r="D7" s="18" t="str">
        <x:v>Staging home</x:v>
      </x:c>
      <x:c r="E7" s="18" t="str">
        <x:v>responsive and component tests</x:v>
      </x:c>
      <x:c r="F7" s="18" t="str"/>
      <x:c r="G7" s="18" t="str">
        <x:v>باز</x:v>
      </x:c>
      <x:c r="H7" s="18" t="str">
        <x:v>مالک</x:v>
      </x:c>
    </x:row>
    <x:row r="8">
      <x:c r="A8" s="18" t="str">
        <x:v>ABS-D07</x:v>
      </x:c>
      <x:c r="B8" s="18" t="str">
        <x:v>Other page templates</x:v>
      </x:c>
      <x:c r="C8" s="18" t="str">
        <x:v>3</x:v>
      </x:c>
      <x:c r="D8" s="18" t="str">
        <x:v>Staging templates</x:v>
      </x:c>
      <x:c r="E8" s="18" t="str">
        <x:v>crawl and reuse report</x:v>
      </x:c>
      <x:c r="F8" s="18" t="str"/>
      <x:c r="G8" s="18" t="str">
        <x:v>باز</x:v>
      </x:c>
      <x:c r="H8" s="18" t="str">
        <x:v>مالک/QC</x:v>
      </x:c>
    </x:row>
    <x:row r="9">
      <x:c r="A9" s="18" t="str">
        <x:v>ABS-D08</x:v>
      </x:c>
      <x:c r="B9" s="18" t="str">
        <x:v>Rental module pilot</x:v>
      </x:c>
      <x:c r="C9" s="18" t="str">
        <x:v>4</x:v>
      </x:c>
      <x:c r="D9" s="18" t="str">
        <x:v>Plugin + staging pilot</x:v>
      </x:c>
      <x:c r="E9" s="18" t="str">
        <x:v>AF-18/19/20 evidence</x:v>
      </x:c>
      <x:c r="F9" s="18" t="str"/>
      <x:c r="G9" s="18" t="str">
        <x:v>آینده</x:v>
      </x:c>
      <x:c r="H9" s="18" t="str">
        <x:v>مالک/QC</x:v>
      </x:c>
    </x:row>
    <x:row r="10">
      <x:c r="A10" t="str">
        <x:v>ABS-D09</x:v>
      </x:c>
      <x:c r="B10" t="str">
        <x:v>گزارش Scope Guard و Registryها</x:v>
      </x:c>
      <x:c r="C10" t="n">
        <x:v>1</x:v>
      </x:c>
      <x:c r="D10" t="str">
        <x:v>JSON/Markdown + Tests</x:v>
      </x:c>
      <x:c r="E10" t="str">
        <x:v>Policy/Feature/Event/Extension registry evidence</x:v>
      </x:c>
      <x:c r="F10"/>
      <x:c r="G10" t="str">
        <x:v>باز</x:v>
      </x:c>
      <x:c r="H10" t="str">
        <x:v>QC</x:v>
      </x:c>
    </x:row>
    <x:row r="11">
      <x:c r="A11" t="str">
        <x:v>ABS-D10</x:v>
      </x:c>
      <x:c r="B11" t="str">
        <x:v>شاهد عدم اجرای زودهنگام ماژول‌ها</x:v>
      </x:c>
      <x:c r="C11" t="n">
        <x:v>1</x:v>
      </x:c>
      <x:c r="D11" t="str">
        <x:v>Code review report</x:v>
      </x:c>
      <x:c r="E11" t="str">
        <x:v>عدم وجود Rental/Ticket/CRM operational build در فاز ۱</x:v>
      </x:c>
      <x:c r="F11"/>
      <x:c r="G11" t="str">
        <x:v>باز</x:v>
      </x:c>
      <x:c r="H11" t="str">
        <x:v>مالک/QC</x:v>
      </x:c>
    </x:row>
    <x:row r="12">
      <x:c r="A12" t="str">
        <x:v>ABS-D11</x:v>
      </x:c>
      <x:c r="B12" t="str">
        <x:v>Mobile OTP Identity</x:v>
      </x:c>
      <x:c r="C12" t="n">
        <x:v>1</x:v>
      </x:c>
      <x:c r="D12" t="str">
        <x:v>Plugin/API/UI+Tests</x:v>
      </x:c>
      <x:c r="E12" t="str">
        <x:v>AF-25/26</x:v>
      </x:c>
      <x:c r="F12"/>
      <x:c r="G12" t="str">
        <x:v>باز</x:v>
      </x:c>
      <x:c r="H12" t="str">
        <x:v>QC</x:v>
      </x:c>
    </x:row>
    <x:row r="13">
      <x:c r="A13" t="str">
        <x:v>ABS-D12</x:v>
      </x:c>
      <x:c r="B13" t="str">
        <x:v>داشبورد پایه مشتری</x:v>
      </x:c>
      <x:c r="C13" t="n">
        <x:v>1</x:v>
      </x:c>
      <x:c r="D13" t="str">
        <x:v>Account templates+authorization</x:v>
      </x:c>
      <x:c r="E13" t="str">
        <x:v>AF-27/28</x:v>
      </x:c>
      <x:c r="F13"/>
      <x:c r="G13" t="str">
        <x:v>باز</x:v>
      </x:c>
      <x:c r="H13" t="str">
        <x:v>QC</x:v>
      </x:c>
    </x:row>
    <x:row r="14">
      <x:c r="A14" t="str">
        <x:v>ABS-D13</x:v>
      </x:c>
      <x:c r="B14" t="str">
        <x:v>گزارش Scope Freeze</x:v>
      </x:c>
      <x:c r="C14" t="n">
        <x:v>1</x:v>
      </x:c>
      <x:c r="D14" t="str">
        <x:v>Code review+backlog diff</x:v>
      </x:c>
      <x:c r="E14" t="str">
        <x:v>AF-29/30</x:v>
      </x:c>
      <x:c r="F14"/>
      <x:c r="G14" t="str">
        <x:v>باز</x:v>
      </x:c>
      <x:c r="H14" t="str">
        <x:v>مالک/QC</x:v>
      </x:c>
    </x:row>
  </x:sheetData>
  <x:dataValidations count="1">
    <x:dataValidation type="list" sqref="G2:G9">
      <x:formula1>"باز,در حال اجرا,تحویل شد,تأیید,ناموفق,آینده"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34" hidden="0" customWidth="1"/>
    <x:col min="4" max="4" width="34" hidden="0" customWidth="1"/>
    <x:col min="5" max="5" width="34" hidden="0" customWidth="1"/>
    <x:col min="6" max="6" width="32" hidden="0" customWidth="1"/>
    <x:col min="7" max="7" width="28" hidden="0" customWidth="1"/>
    <x:col min="8" max="8" width="14" hidden="0" customWidth="1"/>
  </x:cols>
  <x:sheetData>
    <x:row r="1">
      <x:c r="A1" s="50" t="str">
        <x:v>قواعد دامنه و فازبندی v3.1</x:v>
      </x:c>
      <x:c r="B1" s="50"/>
      <x:c r="C1" s="50"/>
      <x:c r="D1" s="50"/>
      <x:c r="E1" s="50"/>
      <x:c r="F1" s="50"/>
      <x:c r="G1" s="50"/>
      <x:c r="H1" s="50"/>
    </x:row>
    <x:row r="2">
      <x:c r="A2" s="44"/>
      <x:c r="B2" s="44"/>
      <x:c r="C2" s="44"/>
      <x:c r="D2" s="44"/>
      <x:c r="E2" s="44"/>
      <x:c r="F2" s="44"/>
      <x:c r="G2" s="44"/>
      <x:c r="H2" s="44"/>
    </x:row>
    <x:row r="3">
      <x:c r="A3" s="53" t="str">
        <x:v>گروه</x:v>
      </x:c>
      <x:c r="B3" s="53" t="str">
        <x:v>قاعده</x:v>
      </x:c>
      <x:c r="C3" s="53" t="str">
        <x:v>اکنون چه می‌سازیم؟</x:v>
      </x:c>
      <x:c r="D3" s="53" t="str">
        <x:v>اکنون چه چیزی فقط پیش‌بینی می‌شود؟</x:v>
      </x:c>
      <x:c r="E3" s="53" t="str">
        <x:v>چه چیزی به بعد موکول می‌شود؟</x:v>
      </x:c>
      <x:c r="F3" s="53" t="str">
        <x:v>دلیل</x:v>
      </x:c>
      <x:c r="G3" s="53" t="str">
        <x:v>اثر روی عباس</x:v>
      </x:c>
      <x:c r="H3" s="53" t="str">
        <x:v>وضعیت</x:v>
      </x:c>
    </x:row>
    <x:row r="4">
      <x:c r="A4" s="45" t="str">
        <x:v>هدف</x:v>
      </x:c>
      <x:c r="B4" s="45" t="str">
        <x:v>رتبه‌گیری و فروش مقدم است</x:v>
      </x:c>
      <x:c r="C4" s="45" t="str">
        <x:v>SEO technical base، محتوا، سرعت، فروشگاه و صفحات تبدیل</x:v>
      </x:c>
      <x:c r="D4" s="45" t="str">
        <x:v>ماژول‌های آینده در Registry</x:v>
      </x:c>
      <x:c r="E4" s="45" t="str">
        <x:v>قابلیت‌های پیچیده بدون اثر مستقیم فاز اول</x:v>
      </x:c>
      <x:c r="F4" s="45" t="str">
        <x:v>جلوگیری از شکست پروژه</x:v>
      </x:c>
      <x:c r="G4" s="45" t="str">
        <x:v>اجرای کوچک و قابل تحویل</x:v>
      </x:c>
      <x:c r="H4" s="45" t="str">
        <x:v>قفل شده</x:v>
      </x:c>
    </x:row>
    <x:row r="5">
      <x:c r="A5" s="45" t="str">
        <x:v>اجاره</x:v>
      </x:c>
      <x:c r="B5" s="45" t="str">
        <x:v>ماژول کامل اکنون ساخته نمی‌شود</x:v>
      </x:c>
      <x:c r="C5" s="45" t="str">
        <x:v>Namespace، Feature Flag، Policy Hook، Mount Point</x:v>
      </x:c>
      <x:c r="D5" s="45" t="str">
        <x:v>MediaAsset/Availability/Hold contract</x:v>
      </x:c>
      <x:c r="E5" s="45" t="str">
        <x:v>نقشه، تقویم، رزرو، عملیات</x:v>
      </x:c>
      <x:c r="F5" s="45" t="str">
        <x:v>افزودن افزایشی در فاز ۴</x:v>
      </x:c>
      <x:c r="G5" s="45" t="str">
        <x:v>عدم ساخت Backend اجاره در فاز ۱</x:v>
      </x:c>
      <x:c r="H5" s="45" t="str">
        <x:v>قفل شده</x:v>
      </x:c>
    </x:row>
    <x:row r="6">
      <x:c r="A6" s="45" t="str">
        <x:v>قیمت/تقویم</x:v>
      </x:c>
      <x:c r="B6" s="45" t="str">
        <x:v>فقط کاربر واردشده</x:v>
      </x:c>
      <x:c r="C6" s="45" t="str">
        <x:v>Authorization Policy Registry</x:v>
      </x:c>
      <x:c r="D6" s="45" t="str">
        <x:v>authenticated-only policy</x:v>
      </x:c>
      <x:c r="E6" s="45" t="str">
        <x:v>UI/API واقعی تقویم و قیمت</x:v>
      </x:c>
      <x:c r="F6" s="45" t="str">
        <x:v>حفاظت تجاری و کنترل دسترسی</x:v>
      </x:c>
      <x:c r="G6" s="45" t="str">
        <x:v>تست AF-21 اکنون؛ AF-23 آینده</x:v>
      </x:c>
      <x:c r="H6" s="45" t="str">
        <x:v>قفل شده</x:v>
      </x:c>
    </x:row>
    <x:row r="7">
      <x:c r="A7" s="45" t="str">
        <x:v>رزرو خصوصی</x:v>
      </x:c>
      <x:c r="B7" s="45" t="str">
        <x:v>مدیر برای مشتری منتخب قفل کند</x:v>
      </x:c>
      <x:c r="C7" s="45" t="str">
        <x:v>Policy name و contract</x:v>
      </x:c>
      <x:c r="D7" s="45" t="str">
        <x:v>ProtectedAllocation + audit fields</x:v>
      </x:c>
      <x:c r="E7" s="45" t="str">
        <x:v>پنل و منطق رزرو خصوصی</x:v>
      </x:c>
      <x:c r="F7" s="45" t="str">
        <x:v>حفظ مشتریان منتخب پیش از انتشار عمومی</x:v>
      </x:c>
      <x:c r="G7" s="45" t="str">
        <x:v>تست AF-24 در فاز ۴</x:v>
      </x:c>
      <x:c r="H7" s="45" t="str">
        <x:v>قفل شده</x:v>
      </x:c>
    </x:row>
    <x:row r="8">
      <x:c r="A8" s="45" t="str">
        <x:v>پشتیبانی</x:v>
      </x:c>
      <x:c r="B8" s="45" t="str">
        <x:v>گفتگو و تأیید طرح مهم است اما اکنون نه</x:v>
      </x:c>
      <x:c r="C8" s="45" t="str">
        <x:v>Mount/Interface برای Ticket, Conversation, Attachment, Approval</x:v>
      </x:c>
      <x:c r="D8" s="45" t="str">
        <x:v>Provider registry و permissions</x:v>
      </x:c>
      <x:c r="E8" s="45" t="str">
        <x:v>ماژول تیکت/چت/آپلود/تأیید</x:v>
      </x:c>
      <x:c r="F8" s="45" t="str">
        <x:v>کاهش بازکاری آینده بدون بار فاز اول</x:v>
      </x:c>
      <x:c r="G8" s="45" t="str">
        <x:v>فقط Extension Point</x:v>
      </x:c>
      <x:c r="H8" s="45" t="str">
        <x:v>ثبت شده</x:v>
      </x:c>
    </x:row>
    <x:row r="9">
      <x:c r="A9" s="45" t="str">
        <x:v>CRM</x:v>
      </x:c>
      <x:c r="B9" s="45" t="str">
        <x:v>داده رفتاری مهم است اما داشبورد کامل نه</x:v>
      </x:c>
      <x:c r="C9" s="45" t="str">
        <x:v>Event Registry و consent hook پایه</x:v>
      </x:c>
      <x:c r="D9" s="45" t="str">
        <x:v>CRM adapter و behavioral schema</x:v>
      </x:c>
      <x:c r="E9" s="45" t="str">
        <x:v>Customer 360، Segment و Retention automation</x:v>
      </x:c>
      <x:c r="F9" s="45" t="str">
        <x:v>تمرکز روی فروش اولیه</x:v>
      </x:c>
      <x:c r="G9" s="45" t="str">
        <x:v>عدم ساخت CRM کامل</x:v>
      </x:c>
      <x:c r="H9" s="45" t="str">
        <x:v>ثبت شده</x:v>
      </x:c>
    </x:row>
    <x:row r="10">
      <x:c r="A10" s="45" t="str">
        <x:v>سازمان</x:v>
      </x:c>
      <x:c r="B10" s="45" t="str">
        <x:v>چندکاربره‌بودن فعلاً لازم نیست</x:v>
      </x:c>
      <x:c r="C10" s="45" t="str">
        <x:v>هیچ</x:v>
      </x:c>
      <x:c r="D10" s="45" t="str">
        <x:v>فقط backlog item</x:v>
      </x:c>
      <x:c r="E10" s="45" t="str">
        <x:v>OrganizationMember و Roleهای B2B</x:v>
      </x:c>
      <x:c r="F10" s="45" t="str">
        <x:v>تناسب با بلوغ فعلی</x:v>
      </x:c>
      <x:c r="G10" s="45" t="str">
        <x:v>هیچ Migration اضافی</x:v>
      </x:c>
      <x:c r="H10" s="45" t="str">
        <x:v>تعویق</x:v>
      </x:c>
    </x:row>
  </x:sheetData>
  <x:mergeCells>
    <x:mergeCell ref="A1:H1"/>
  </x:mergeCells>
  <x:conditionalFormatting sqref="H4:H10">
    <x:cfRule type="expression" dxfId="5" priority="1">
      <x:formula>H4="قفل شده"</x:formula>
    </x:cfRule>
    <x:cfRule type="expression" dxfId="6" priority="2">
      <x:formula>H4="تعویق"</x:formula>
    </x:cfRule>
  </x:conditionalFormatting>
  <x:dataValidations count="1">
    <x:dataValidation type="list" sqref="H4:H10">
      <x:formula1>"قفل شده,ثبت شده,تعویق,باز"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25" hidden="0" customWidth="1"/>
    <x:col min="3" max="3" width="18" hidden="0" customWidth="1"/>
    <x:col min="4" max="4" width="24" hidden="0" customWidth="1"/>
    <x:col min="5" max="5" width="27" hidden="0" customWidth="1"/>
    <x:col min="6" max="6" width="25" hidden="0" customWidth="1"/>
    <x:col min="7" max="7" width="12" hidden="0" customWidth="1"/>
    <x:col min="8" max="8" width="40" hidden="0" customWidth="1"/>
  </x:cols>
  <x:sheetData>
    <x:row r="1">
      <x:c r="A1" s="49" t="str">
        <x:v>قرارداد دسترسی و رزرو خصوصی ماژول آینده اجاره</x:v>
      </x:c>
      <x:c r="B1" s="49"/>
      <x:c r="C1" s="49"/>
      <x:c r="D1" s="49"/>
      <x:c r="E1" s="49"/>
      <x:c r="F1" s="49"/>
      <x:c r="G1" s="49"/>
      <x:c r="H1" s="49"/>
    </x:row>
    <x:row r="3">
      <x:c r="A3" s="52" t="str">
        <x:v>نقش/وضعیت</x:v>
      </x:c>
      <x:c r="B3" s="52" t="str">
        <x:v>فهرست رسانه</x:v>
      </x:c>
      <x:c r="C3" s="52" t="str">
        <x:v>قیمت</x:v>
      </x:c>
      <x:c r="D3" s="52" t="str">
        <x:v>تقویم</x:v>
      </x:c>
      <x:c r="E3" s="52" t="str">
        <x:v>Protected Hold</x:v>
      </x:c>
      <x:c r="F3" s="52" t="str">
        <x:v>API Policy</x:v>
      </x:c>
      <x:c r="G3" s="52" t="str">
        <x:v>فاز اجرا</x:v>
      </x:c>
      <x:c r="H3" s="52" t="str">
        <x:v>نکته امنیتی</x:v>
      </x:c>
    </x:row>
    <x:row r="4">
      <x:c r="A4" s="18" t="str">
        <x:v>مهمان</x:v>
      </x:c>
      <x:c r="B4" s="18" t="str">
        <x:v>فقط خلاصه‌های تأییدشده</x:v>
      </x:c>
      <x:c r="C4" s="18" t="str">
        <x:v>مخفی</x:v>
      </x:c>
      <x:c r="D4" s="18" t="str">
        <x:v>مخفی</x:v>
      </x:c>
      <x:c r="E4" s="18" t="str">
        <x:v>مخفی</x:v>
      </x:c>
      <x:c r="F4" s="18" t="str">
        <x:v>public_summary_only</x:v>
      </x:c>
      <x:c r="G4" s="18" t="n">
        <x:v>4</x:v>
      </x:c>
      <x:c r="H4" s="18" t="str">
        <x:v>Payload حساس نباید در HTML یا API عمومی ارسال شود.</x:v>
      </x:c>
    </x:row>
    <x:row r="5">
      <x:c r="A5" s="18" t="str">
        <x:v>مشتری واردشده</x:v>
      </x:c>
      <x:c r="B5" s="18" t="str">
        <x:v>رسانه‌های منتشرشده</x:v>
      </x:c>
      <x:c r="C5" s="18" t="str">
        <x:v>قابل مشاهده</x:v>
      </x:c>
      <x:c r="D5" s="18" t="str">
        <x:v>تقویم منتشرشده</x:v>
      </x:c>
      <x:c r="E5" s="18" t="str">
        <x:v>فقط تخصیص خود مشتری</x:v>
      </x:c>
      <x:c r="F5" s="18" t="str">
        <x:v>authenticated_customer</x:v>
      </x:c>
      <x:c r="G5" s="18" t="n">
        <x:v>4</x:v>
      </x:c>
      <x:c r="H5" s="18" t="str">
        <x:v>شناسه مشتری و مجوز سمت سرور بررسی شود.</x:v>
      </x:c>
    </x:row>
    <x:row r="6">
      <x:c r="A6" s="18" t="str">
        <x:v>مشتری دیگر</x:v>
      </x:c>
      <x:c r="B6" s="18" t="str">
        <x:v>رسانه‌های منتشرشده</x:v>
      </x:c>
      <x:c r="C6" s="18" t="str">
        <x:v>قابل مشاهده</x:v>
      </x:c>
      <x:c r="D6" s="18" t="str">
        <x:v>بازه Protected مسدود</x:v>
      </x:c>
      <x:c r="E6" s="18" t="str">
        <x:v>جزئیات مالک تخصیص مخفی</x:v>
      </x:c>
      <x:c r="F6" s="18" t="str">
        <x:v>authenticated_customer</x:v>
      </x:c>
      <x:c r="G6" s="18" t="n">
        <x:v>4</x:v>
      </x:c>
      <x:c r="H6" s="18" t="str">
        <x:v>نباید نام یا دلیل رزرو خصوصی افشا شود.</x:v>
      </x:c>
    </x:row>
    <x:row r="7">
      <x:c r="A7" s="18" t="str">
        <x:v>مدیر/اپراتور مجاز</x:v>
      </x:c>
      <x:c r="B7" s="18" t="str">
        <x:v>همه طبق نقش</x:v>
      </x:c>
      <x:c r="C7" s="18" t="str">
        <x:v>قابل مدیریت</x:v>
      </x:c>
      <x:c r="D7" s="18" t="str">
        <x:v>Draft/Internal/Published</x:v>
      </x:c>
      <x:c r="E7" s="18" t="str">
        <x:v>ایجاد/تمدید/آزادسازی</x:v>
      </x:c>
      <x:c r="F7" s="18" t="str">
        <x:v>rental_manager</x:v>
      </x:c>
      <x:c r="G7" s="18" t="n">
        <x:v>4</x:v>
      </x:c>
      <x:c r="H7" s="18" t="str">
        <x:v>همه عملیات در Audit Log ثبت شود.</x:v>
      </x:c>
    </x:row>
    <x:row r="8">
      <x:c r="A8" s="18" t="str">
        <x:v>فاز ۱ زیرساخت</x:v>
      </x:c>
      <x:c r="B8" s="18" t="str">
        <x:v>هیچ داده اجاره واقعی</x:v>
      </x:c>
      <x:c r="C8" s="18" t="str">
        <x:v>هیچ</x:v>
      </x:c>
      <x:c r="D8" s="18" t="str">
        <x:v>هیچ</x:v>
      </x:c>
      <x:c r="E8" s="18" t="str">
        <x:v>هیچ</x:v>
      </x:c>
      <x:c r="F8" s="18" t="str">
        <x:v>Registry + hooks only</x:v>
      </x:c>
      <x:c r="G8" s="18" t="n">
        <x:v>1</x:v>
      </x:c>
      <x:c r="H8" s="18" t="str">
        <x:v>عدم ساخت زودهنگام جداول و پنل عملیاتی.</x:v>
      </x:c>
    </x:row>
  </x:sheetData>
  <x:mergeCells>
    <x:mergeCell ref="A1:H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20" hidden="0" customWidth="1"/>
    <x:col min="4" max="4" width="11" hidden="0" customWidth="1"/>
    <x:col min="5" max="5" width="23" hidden="0" customWidth="1"/>
    <x:col min="6" max="6" width="12" hidden="0" customWidth="1"/>
    <x:col min="7" max="7" width="13" hidden="0" customWidth="1"/>
    <x:col min="8" max="8" width="15" hidden="0" customWidth="1"/>
    <x:col min="9" max="9" width="11" hidden="0" customWidth="1"/>
    <x:col min="10" max="10" width="10" hidden="0" customWidth="1"/>
    <x:col min="11" max="11" width="11" hidden="0" customWidth="1"/>
    <x:col min="12" max="12" width="11" hidden="0" customWidth="1"/>
    <x:col min="13" max="13" width="10" hidden="0" customWidth="1"/>
    <x:col min="14" max="14" width="18" hidden="0" customWidth="1"/>
    <x:col min="15" max="15" width="20" hidden="0" customWidth="1"/>
    <x:col min="16" max="16" width="13" hidden="0" customWidth="1"/>
    <x:col min="17" max="17" width="45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</x:cols>
  <x:sheetData>
    <x:row r="1">
      <x:c r="A1" s="50" t="str">
        <x:v>بک‌لاگ زنده، امتیازدهی و اولویت اجرای وب‌سایت</x:v>
      </x:c>
      <x:c r="B1" s="50"/>
      <x:c r="C1" s="50"/>
      <x:c r="D1" s="50"/>
      <x:c r="E1" s="50"/>
      <x:c r="F1" s="50"/>
      <x:c r="G1" s="50"/>
      <x:c r="H1" s="50"/>
      <x:c r="I1" s="50"/>
      <x:c r="J1" s="50"/>
      <x:c r="K1" s="50"/>
      <x:c r="L1" s="50"/>
      <x:c r="M1" s="50"/>
      <x:c r="N1" s="50"/>
      <x:c r="O1" s="50"/>
      <x:c r="P1" s="50"/>
      <x:c r="Q1" s="50"/>
      <x:c r="S1" s="61" t="str">
        <x:v>خلاصه اولویت</x:v>
      </x:c>
      <x:c r="T1" s="61"/>
      <x:c r="U1" s="61"/>
      <x:c r="V1" s="61"/>
    </x:row>
    <x:row r="2">
      <x:c r="A2" s="57" t="str">
        <x:v>امتیاز = (۳۰٪ اثر رتبه/فروش + ۲۵٪ ضرورت زیرساخت + ۲۰٪ کاهش ریسک + ۱۵٪ اثر کاربر + ۱۰٪ فوریت) × (۶-پیچیدگی).</x:v>
      </x:c>
      <x:c r="B2" s="57"/>
      <x:c r="C2" s="57"/>
      <x:c r="D2" s="57"/>
      <x:c r="E2" s="57"/>
      <x:c r="F2" s="57"/>
      <x:c r="G2" s="57"/>
      <x:c r="H2" s="57"/>
      <x:c r="I2" s="57"/>
      <x:c r="J2" s="57"/>
      <x:c r="K2" s="57"/>
      <x:c r="L2" s="57"/>
      <x:c r="M2" s="57"/>
      <x:c r="N2" s="57"/>
      <x:c r="O2" s="57"/>
      <x:c r="P2" s="57"/>
      <x:c r="Q2" s="57"/>
      <x:c r="S2" s="64" t="str">
        <x:v>P0</x:v>
      </x:c>
      <x:c r="T2" s="64" t="n">
        <x:f>COUNTIF($M$5:$M$31,"P0")</x:f>
        <x:v>2</x:v>
      </x:c>
      <x:c r="U2" s="64" t="str">
        <x:v>ساخت اکنون</x:v>
      </x:c>
      <x:c r="V2" s="64" t="n">
        <x:f>COUNTIF($E$5:$E$31,"ساخت اکنون")</x:f>
        <x:v>15</x:v>
      </x:c>
    </x:row>
    <x:row r="3">
      <x:c r="S3" s="64" t="str">
        <x:v>P1</x:v>
      </x:c>
      <x:c r="T3" s="64" t="n">
        <x:f>COUNTIF($M$5:$M$31,"P1")</x:f>
        <x:v>12</x:v>
      </x:c>
      <x:c r="U3" s="64" t="str">
        <x:v>فقط زیرساخت</x:v>
      </x:c>
      <x:c r="V3" s="64" t="n">
        <x:f>COUNTIF($E$5:$E$31,"فقط زیرساخت")</x:f>
        <x:v>4</x:v>
      </x:c>
    </x:row>
    <x:row r="4">
      <x:c r="A4" s="53" t="str">
        <x:v>کد</x:v>
      </x:c>
      <x:c r="B4" s="53" t="str">
        <x:v>قابلیت</x:v>
      </x:c>
      <x:c r="C4" s="53" t="str">
        <x:v>حوزه</x:v>
      </x:c>
      <x:c r="D4" s="53" t="str">
        <x:v>فاز هدف</x:v>
      </x:c>
      <x:c r="E4" s="53" t="str">
        <x:v>حالت اجرا</x:v>
      </x:c>
      <x:c r="F4" s="53" t="str">
        <x:v>اثر رتبه/فروش</x:v>
      </x:c>
      <x:c r="G4" s="53" t="str">
        <x:v>ضرورت زیرساخت</x:v>
      </x:c>
      <x:c r="H4" s="53" t="str">
        <x:v>کاهش ریسک آینده</x:v>
      </x:c>
      <x:c r="I4" s="53" t="str">
        <x:v>اثر کاربر</x:v>
      </x:c>
      <x:c r="J4" s="53" t="str">
        <x:v>فوریت</x:v>
      </x:c>
      <x:c r="K4" s="53" t="str">
        <x:v>پیچیدگی</x:v>
      </x:c>
      <x:c r="L4" s="53" t="str">
        <x:v>امتیاز</x:v>
      </x:c>
      <x:c r="M4" s="53" t="str">
        <x:v>اولویت</x:v>
      </x:c>
      <x:c r="N4" s="53" t="str">
        <x:v>مسئول</x:v>
      </x:c>
      <x:c r="O4" s="53" t="str">
        <x:v>گیت پذیرش</x:v>
      </x:c>
      <x:c r="P4" s="53" t="str">
        <x:v>وضعیت</x:v>
      </x:c>
      <x:c r="Q4" s="53" t="str">
        <x:v>توضیح</x:v>
      </x:c>
      <x:c r="S4" s="64" t="str">
        <x:v>P2</x:v>
      </x:c>
      <x:c r="T4" s="64" t="n">
        <x:f>COUNTIF($M$5:$M$31,"P2")</x:f>
        <x:v>7</x:v>
      </x:c>
      <x:c r="U4" s="64" t="str">
        <x:v>آینده/تعویق</x:v>
      </x:c>
      <x:c r="V4" s="64" t="n">
        <x:f>COUNTIF($P$5:$P$31,"آینده")+COUNTIF($P$5:$P$31,"تعویق")</x:f>
        <x:v>6</x:v>
      </x:c>
    </x:row>
    <x:row r="5">
      <x:c r="A5" s="18" t="str">
        <x:v>BL-001</x:v>
      </x:c>
      <x:c r="B5" s="18" t="str">
        <x:v>معماری URL، Canonical و Sitemap پایدار</x:v>
      </x:c>
      <x:c r="C5" s="18" t="str">
        <x:v>SEO/Architecture</x:v>
      </x:c>
      <x:c r="D5" s="18" t="n">
        <x:v>1</x:v>
      </x:c>
      <x:c r="E5" s="18" t="str">
        <x:v>ساخت اکنون</x:v>
      </x:c>
      <x:c r="F5" s="58" t="n">
        <x:v>5</x:v>
      </x:c>
      <x:c r="G5" s="58" t="n">
        <x:v>5</x:v>
      </x:c>
      <x:c r="H5" s="58" t="n">
        <x:v>5</x:v>
      </x:c>
      <x:c r="I5" s="58" t="n">
        <x:v>4</x:v>
      </x:c>
      <x:c r="J5" s="58" t="n">
        <x:v>5</x:v>
      </x:c>
      <x:c r="K5" s="58" t="n">
        <x:v>2</x:v>
      </x:c>
      <x:c r="L5" s="59" t="n">
        <x:f>ROUND((F5*0.30+G5*0.25+H5*0.20+I5*0.15+J5*0.10)*(6-K5),1)</x:f>
        <x:v>19.4</x:v>
      </x:c>
      <x:c r="M5" s="58" t="str">
        <x:f>IF(L5&gt;=18,"P0",IF(L5&gt;=13,"P1",IF(L5&gt;=8,"P2","P3")))</x:f>
        <x:v>P0</x:v>
      </x:c>
      <x:c r="N5" s="18" t="str">
        <x:v>عباس/QC</x:v>
      </x:c>
      <x:c r="O5" s="18" t="str">
        <x:v>AF-08/17</x:v>
      </x:c>
      <x:c r="P5" s="18" t="str">
        <x:v>باز</x:v>
      </x:c>
      <x:c r="Q5" s="18" t="str">
        <x:v>پایه رتبه‌گیری و جلوگیری از مهاجرت‌های مکرر</x:v>
      </x:c>
      <x:c r="S5" s="64" t="str">
        <x:v>P3</x:v>
      </x:c>
      <x:c r="T5" s="64" t="n">
        <x:f>COUNTIF($M$5:$M$31,"P3")</x:f>
        <x:v>6</x:v>
      </x:c>
      <x:c r="U5" s="64" t="str">
        <x:v>کل موارد</x:v>
      </x:c>
      <x:c r="V5" s="64" t="n">
        <x:f>COUNTA($A$5:$A$31)</x:f>
        <x:v>27</x:v>
      </x:c>
    </x:row>
    <x:row r="6">
      <x:c r="A6" s="18" t="str">
        <x:v>BL-002</x:v>
      </x:c>
      <x:c r="B6" s="18" t="str">
        <x:v>هوم Responsive واحد و سیستم کامپوننت</x:v>
      </x:c>
      <x:c r="C6" s="18" t="str">
        <x:v>UX/Frontend</x:v>
      </x:c>
      <x:c r="D6" s="18" t="n">
        <x:v>2</x:v>
      </x:c>
      <x:c r="E6" s="18" t="str">
        <x:v>ساخت اکنون</x:v>
      </x:c>
      <x:c r="F6" s="58" t="n">
        <x:v>5</x:v>
      </x:c>
      <x:c r="G6" s="58" t="n">
        <x:v>5</x:v>
      </x:c>
      <x:c r="H6" s="58" t="n">
        <x:v>5</x:v>
      </x:c>
      <x:c r="I6" s="58" t="n">
        <x:v>5</x:v>
      </x:c>
      <x:c r="J6" s="58" t="n">
        <x:v>5</x:v>
      </x:c>
      <x:c r="K6" s="58" t="n">
        <x:v>3</x:v>
      </x:c>
      <x:c r="L6" s="59" t="n">
        <x:f>ROUND((F6*0.30+G6*0.25+H6*0.20+I6*0.15+J6*0.10)*(6-K6),1)</x:f>
        <x:v>15</x:v>
      </x:c>
      <x:c r="M6" s="58" t="str">
        <x:f>IF(L6&gt;=18,"P0",IF(L6&gt;=13,"P1",IF(L6&gt;=8,"P2","P3")))</x:f>
        <x:v>P1</x:v>
      </x:c>
      <x:c r="N6" s="18" t="str">
        <x:v>عباس</x:v>
      </x:c>
      <x:c r="O6" s="18" t="str">
        <x:v>AF-11 تا AF-15</x:v>
      </x:c>
      <x:c r="P6" s="18" t="str">
        <x:v>باز</x:v>
      </x:c>
      <x:c r="Q6" s="18" t="str">
        <x:v>مبنای همه صفحات و توسعه آینده</x:v>
      </x:c>
    </x:row>
    <x:row r="7">
      <x:c r="A7" s="18" t="str">
        <x:v>BL-003</x:v>
      </x:c>
      <x:c r="B7" s="18" t="str">
        <x:v>مدل CMS و ارتباط Service/Product/Project/Portfolio</x:v>
      </x:c>
      <x:c r="C7" s="18" t="str">
        <x:v>Content/Data</x:v>
      </x:c>
      <x:c r="D7" s="18" t="n">
        <x:v>1</x:v>
      </x:c>
      <x:c r="E7" s="18" t="str">
        <x:v>ساخت اکنون</x:v>
      </x:c>
      <x:c r="F7" s="58" t="n">
        <x:v>5</x:v>
      </x:c>
      <x:c r="G7" s="58" t="n">
        <x:v>5</x:v>
      </x:c>
      <x:c r="H7" s="58" t="n">
        <x:v>5</x:v>
      </x:c>
      <x:c r="I7" s="58" t="n">
        <x:v>4</x:v>
      </x:c>
      <x:c r="J7" s="58" t="n">
        <x:v>5</x:v>
      </x:c>
      <x:c r="K7" s="58" t="n">
        <x:v>3</x:v>
      </x:c>
      <x:c r="L7" s="59" t="n">
        <x:f>ROUND((F7*0.30+G7*0.25+H7*0.20+I7*0.15+J7*0.10)*(6-K7),1)</x:f>
        <x:v>14.6</x:v>
      </x:c>
      <x:c r="M7" s="58" t="str">
        <x:f>IF(L7&gt;=18,"P0",IF(L7&gt;=13,"P1",IF(L7&gt;=8,"P2","P3")))</x:f>
        <x:v>P1</x:v>
      </x:c>
      <x:c r="N7" s="18" t="str">
        <x:v>عباس/QC</x:v>
      </x:c>
      <x:c r="O7" s="18" t="str">
        <x:v>AF-05</x:v>
      </x:c>
      <x:c r="P7" s="18" t="str">
        <x:v>باز</x:v>
      </x:c>
      <x:c r="Q7" s="18" t="str">
        <x:v>تعریف یک‌باره و نمایش چندباره</x:v>
      </x:c>
    </x:row>
    <x:row r="8">
      <x:c r="A8" s="18" t="str">
        <x:v>BL-004</x:v>
      </x:c>
      <x:c r="B8" s="18" t="str">
        <x:v>هسته فروش کالا و WooCommerce Adapter</x:v>
      </x:c>
      <x:c r="C8" s="18" t="str">
        <x:v>Commerce</x:v>
      </x:c>
      <x:c r="D8" s="18" t="n">
        <x:v>1</x:v>
      </x:c>
      <x:c r="E8" s="18" t="str">
        <x:v>ساخت اکنون</x:v>
      </x:c>
      <x:c r="F8" s="58" t="n">
        <x:v>5</x:v>
      </x:c>
      <x:c r="G8" s="58" t="n">
        <x:v>5</x:v>
      </x:c>
      <x:c r="H8" s="58" t="n">
        <x:v>5</x:v>
      </x:c>
      <x:c r="I8" s="58" t="n">
        <x:v>5</x:v>
      </x:c>
      <x:c r="J8" s="58" t="n">
        <x:v>5</x:v>
      </x:c>
      <x:c r="K8" s="58" t="n">
        <x:v>4</x:v>
      </x:c>
      <x:c r="L8" s="59" t="n">
        <x:f>ROUND((F8*0.30+G8*0.25+H8*0.20+I8*0.15+J8*0.10)*(6-K8),1)</x:f>
        <x:v>10</x:v>
      </x:c>
      <x:c r="M8" s="58" t="str">
        <x:f>IF(L8&gt;=18,"P0",IF(L8&gt;=13,"P1",IF(L8&gt;=8,"P2","P3")))</x:f>
        <x:v>P2</x:v>
      </x:c>
      <x:c r="N8" s="18" t="str">
        <x:v>عباس</x:v>
      </x:c>
      <x:c r="O8" s="18" t="str">
        <x:v>AF-06/10</x:v>
      </x:c>
      <x:c r="P8" s="18" t="str">
        <x:v>باز</x:v>
      </x:c>
      <x:c r="Q8" s="18" t="str">
        <x:v>حل مستقیم هدف فروش</x:v>
      </x:c>
    </x:row>
    <x:row r="9">
      <x:c r="A9" s="18" t="str">
        <x:v>BL-005</x:v>
      </x:c>
      <x:c r="B9" s="18" t="str">
        <x:v>Product و ProductVariant منبع واحد</x:v>
      </x:c>
      <x:c r="C9" s="18" t="str">
        <x:v>Commerce/Data</x:v>
      </x:c>
      <x:c r="D9" s="18" t="n">
        <x:v>1</x:v>
      </x:c>
      <x:c r="E9" s="18" t="str">
        <x:v>ساخت اکنون</x:v>
      </x:c>
      <x:c r="F9" s="58" t="n">
        <x:v>5</x:v>
      </x:c>
      <x:c r="G9" s="58" t="n">
        <x:v>5</x:v>
      </x:c>
      <x:c r="H9" s="58" t="n">
        <x:v>5</x:v>
      </x:c>
      <x:c r="I9" s="58" t="n">
        <x:v>4</x:v>
      </x:c>
      <x:c r="J9" s="58" t="n">
        <x:v>5</x:v>
      </x:c>
      <x:c r="K9" s="58" t="n">
        <x:v>2</x:v>
      </x:c>
      <x:c r="L9" s="59" t="n">
        <x:f>ROUND((F9*0.30+G9*0.25+H9*0.20+I9*0.15+J9*0.10)*(6-K9),1)</x:f>
        <x:v>19.4</x:v>
      </x:c>
      <x:c r="M9" s="58" t="str">
        <x:f>IF(L9&gt;=18,"P0",IF(L9&gt;=13,"P1",IF(L9&gt;=8,"P2","P3")))</x:f>
        <x:v>P0</x:v>
      </x:c>
      <x:c r="N9" s="18" t="str">
        <x:v>عباس/QC</x:v>
      </x:c>
      <x:c r="O9" s="18" t="str">
        <x:v>AF-05</x:v>
      </x:c>
      <x:c r="P9" s="18" t="str">
        <x:v>باز</x:v>
      </x:c>
      <x:c r="Q9" s="18" t="str">
        <x:v>فروشگاه و اجاره آینده به یک موجودیت متصل می‌شوند</x:v>
      </x:c>
    </x:row>
    <x:row r="10">
      <x:c r="A10" s="18" t="str">
        <x:v>BL-006</x:v>
      </x:c>
      <x:c r="B10" s="18" t="str">
        <x:v>زیرساخت SEO، Schema، AEO و Discover</x:v>
      </x:c>
      <x:c r="C10" s="18" t="str">
        <x:v>SEO/Content</x:v>
      </x:c>
      <x:c r="D10" s="18" t="n">
        <x:v>1</x:v>
      </x:c>
      <x:c r="E10" s="18" t="str">
        <x:v>ساخت اکنون</x:v>
      </x:c>
      <x:c r="F10" s="58" t="n">
        <x:v>5</x:v>
      </x:c>
      <x:c r="G10" s="58" t="n">
        <x:v>5</x:v>
      </x:c>
      <x:c r="H10" s="58" t="n">
        <x:v>4</x:v>
      </x:c>
      <x:c r="I10" s="58" t="n">
        <x:v>5</x:v>
      </x:c>
      <x:c r="J10" s="58" t="n">
        <x:v>5</x:v>
      </x:c>
      <x:c r="K10" s="58" t="n">
        <x:v>3</x:v>
      </x:c>
      <x:c r="L10" s="59" t="n">
        <x:f>ROUND((F10*0.30+G10*0.25+H10*0.20+I10*0.15+J10*0.10)*(6-K10),1)</x:f>
        <x:v>14.4</x:v>
      </x:c>
      <x:c r="M10" s="58" t="str">
        <x:f>IF(L10&gt;=18,"P0",IF(L10&gt;=13,"P1",IF(L10&gt;=8,"P2","P3")))</x:f>
        <x:v>P1</x:v>
      </x:c>
      <x:c r="N10" s="18" t="str">
        <x:v>عباس/QC</x:v>
      </x:c>
      <x:c r="O10" s="18" t="str">
        <x:v>SEO Gate</x:v>
      </x:c>
      <x:c r="P10" s="18" t="str">
        <x:v>باز</x:v>
      </x:c>
      <x:c r="Q10" s="18" t="str">
        <x:v>بدون تولید انبوه یا محتوای ضعیف</x:v>
      </x:c>
    </x:row>
    <x:row r="11">
      <x:c r="A11" s="18" t="str">
        <x:v>BL-007</x:v>
      </x:c>
      <x:c r="B11" s="18" t="str">
        <x:v>Performance و خط لوله تصاویر</x:v>
      </x:c>
      <x:c r="C11" s="18" t="str">
        <x:v>Performance</x:v>
      </x:c>
      <x:c r="D11" s="18" t="n">
        <x:v>1</x:v>
      </x:c>
      <x:c r="E11" s="18" t="str">
        <x:v>ساخت اکنون</x:v>
      </x:c>
      <x:c r="F11" s="58" t="n">
        <x:v>5</x:v>
      </x:c>
      <x:c r="G11" s="58" t="n">
        <x:v>4</x:v>
      </x:c>
      <x:c r="H11" s="58" t="n">
        <x:v>4</x:v>
      </x:c>
      <x:c r="I11" s="58" t="n">
        <x:v>5</x:v>
      </x:c>
      <x:c r="J11" s="58" t="n">
        <x:v>5</x:v>
      </x:c>
      <x:c r="K11" s="58" t="n">
        <x:v>3</x:v>
      </x:c>
      <x:c r="L11" s="59" t="n">
        <x:f>ROUND((F11*0.30+G11*0.25+H11*0.20+I11*0.15+J11*0.10)*(6-K11),1)</x:f>
        <x:v>13.7</x:v>
      </x:c>
      <x:c r="M11" s="58" t="str">
        <x:f>IF(L11&gt;=18,"P0",IF(L11&gt;=13,"P1",IF(L11&gt;=8,"P2","P3")))</x:f>
        <x:v>P1</x:v>
      </x:c>
      <x:c r="N11" s="18" t="str">
        <x:v>عباس/QC</x:v>
      </x:c>
      <x:c r="O11" s="18" t="str">
        <x:v>CWV Gate</x:v>
      </x:c>
      <x:c r="P11" s="18" t="str">
        <x:v>باز</x:v>
      </x:c>
      <x:c r="Q11" s="18" t="str">
        <x:v>سرعت و کیفیت تجربه کاربر</x:v>
      </x:c>
    </x:row>
    <x:row r="12">
      <x:c r="A12" s="18" t="str">
        <x:v>BL-008</x:v>
      </x:c>
      <x:c r="B12" s="18" t="str">
        <x:v>Feature Flag و Registry ماژول‌ها</x:v>
      </x:c>
      <x:c r="C12" s="18" t="str">
        <x:v>Foundation</x:v>
      </x:c>
      <x:c r="D12" s="18" t="n">
        <x:v>1</x:v>
      </x:c>
      <x:c r="E12" s="18" t="str">
        <x:v>ساخت اکنون</x:v>
      </x:c>
      <x:c r="F12" s="58" t="n">
        <x:v>3</x:v>
      </x:c>
      <x:c r="G12" s="58" t="n">
        <x:v>5</x:v>
      </x:c>
      <x:c r="H12" s="58" t="n">
        <x:v>5</x:v>
      </x:c>
      <x:c r="I12" s="58" t="n">
        <x:v>3</x:v>
      </x:c>
      <x:c r="J12" s="58" t="n">
        <x:v>5</x:v>
      </x:c>
      <x:c r="K12" s="58" t="n">
        <x:v>2</x:v>
      </x:c>
      <x:c r="L12" s="59" t="n">
        <x:f>ROUND((F12*0.30+G12*0.25+H12*0.20+I12*0.15+J12*0.10)*(6-K12),1)</x:f>
        <x:v>16.4</x:v>
      </x:c>
      <x:c r="M12" s="58" t="str">
        <x:f>IF(L12&gt;=18,"P0",IF(L12&gt;=13,"P1",IF(L12&gt;=8,"P2","P3")))</x:f>
        <x:v>P1</x:v>
      </x:c>
      <x:c r="N12" s="18" t="str">
        <x:v>عباس</x:v>
      </x:c>
      <x:c r="O12" s="18" t="str">
        <x:v>AF-07</x:v>
      </x:c>
      <x:c r="P12" s="18" t="str">
        <x:v>باز</x:v>
      </x:c>
      <x:c r="Q12" s="18" t="str">
        <x:v>فعال‌سازی تدریجی بدون بازنویسی</x:v>
      </x:c>
    </x:row>
    <x:row r="13">
      <x:c r="A13" s="18" t="str">
        <x:v>BL-009</x:v>
      </x:c>
      <x:c r="B13" s="18" t="str">
        <x:v>Event/API/Authorization Policy Registry</x:v>
      </x:c>
      <x:c r="C13" s="18" t="str">
        <x:v>Foundation</x:v>
      </x:c>
      <x:c r="D13" s="18" t="n">
        <x:v>1</x:v>
      </x:c>
      <x:c r="E13" s="18" t="str">
        <x:v>ساخت اکنون</x:v>
      </x:c>
      <x:c r="F13" s="58" t="n">
        <x:v>3</x:v>
      </x:c>
      <x:c r="G13" s="58" t="n">
        <x:v>5</x:v>
      </x:c>
      <x:c r="H13" s="58" t="n">
        <x:v>5</x:v>
      </x:c>
      <x:c r="I13" s="58" t="n">
        <x:v>4</x:v>
      </x:c>
      <x:c r="J13" s="58" t="n">
        <x:v>5</x:v>
      </x:c>
      <x:c r="K13" s="58" t="n">
        <x:v>3</x:v>
      </x:c>
      <x:c r="L13" s="59" t="n">
        <x:f>ROUND((F13*0.30+G13*0.25+H13*0.20+I13*0.15+J13*0.10)*(6-K13),1)</x:f>
        <x:v>12.8</x:v>
      </x:c>
      <x:c r="M13" s="58" t="str">
        <x:f>IF(L13&gt;=18,"P0",IF(L13&gt;=13,"P1",IF(L13&gt;=8,"P2","P3")))</x:f>
        <x:v>P2</x:v>
      </x:c>
      <x:c r="N13" s="18" t="str">
        <x:v>عباس/QC</x:v>
      </x:c>
      <x:c r="O13" s="18" t="str">
        <x:v>AF-09/21</x:v>
      </x:c>
      <x:c r="P13" s="18" t="str">
        <x:v>باز</x:v>
      </x:c>
      <x:c r="Q13" s="18" t="str">
        <x:v>پایه پیامک، CRM، حساب و دسترسی اجاره</x:v>
      </x:c>
    </x:row>
    <x:row r="14">
      <x:c r="A14" s="18" t="str">
        <x:v>BL-010</x:v>
      </x:c>
      <x:c r="B14" s="18" t="str">
        <x:v>Analytics پایه، GSC/GA4 و Attribution حداقلی</x:v>
      </x:c>
      <x:c r="C14" s="18" t="str">
        <x:v>Analytics</x:v>
      </x:c>
      <x:c r="D14" s="18" t="n">
        <x:v>2</x:v>
      </x:c>
      <x:c r="E14" s="18" t="str">
        <x:v>ساخت اکنون</x:v>
      </x:c>
      <x:c r="F14" s="58" t="n">
        <x:v>5</x:v>
      </x:c>
      <x:c r="G14" s="58" t="n">
        <x:v>4</x:v>
      </x:c>
      <x:c r="H14" s="58" t="n">
        <x:v>3</x:v>
      </x:c>
      <x:c r="I14" s="58" t="n">
        <x:v>3</x:v>
      </x:c>
      <x:c r="J14" s="58" t="n">
        <x:v>4</x:v>
      </x:c>
      <x:c r="K14" s="58" t="n">
        <x:v>3</x:v>
      </x:c>
      <x:c r="L14" s="59" t="n">
        <x:f>ROUND((F14*0.30+G14*0.25+H14*0.20+I14*0.15+J14*0.10)*(6-K14),1)</x:f>
        <x:v>11.9</x:v>
      </x:c>
      <x:c r="M14" s="58" t="str">
        <x:f>IF(L14&gt;=18,"P0",IF(L14&gt;=13,"P1",IF(L14&gt;=8,"P2","P3")))</x:f>
        <x:v>P2</x:v>
      </x:c>
      <x:c r="N14" s="18" t="str">
        <x:v>عباس/مالک</x:v>
      </x:c>
      <x:c r="O14" s="18" t="str">
        <x:v>Measurement Gate</x:v>
      </x:c>
      <x:c r="P14" s="18" t="str">
        <x:v>باز</x:v>
      </x:c>
      <x:c r="Q14" s="18" t="str">
        <x:v>اندازه‌گیری رتبه، لید و فروش</x:v>
      </x:c>
    </x:row>
    <x:row r="15">
      <x:c r="A15" s="18" t="str">
        <x:v>BL-011</x:v>
      </x:c>
      <x:c r="B15" s="18" t="str">
        <x:v>سکشن هوم اجاره در حالت Prelaunch و Mount Point</x:v>
      </x:c>
      <x:c r="C15" s="18" t="str">
        <x:v>Home/Rental</x:v>
      </x:c>
      <x:c r="D15" s="18" t="n">
        <x:v>2</x:v>
      </x:c>
      <x:c r="E15" s="18" t="str">
        <x:v>ساخت اکنون</x:v>
      </x:c>
      <x:c r="F15" s="58" t="n">
        <x:v>4</x:v>
      </x:c>
      <x:c r="G15" s="58" t="n">
        <x:v>4</x:v>
      </x:c>
      <x:c r="H15" s="58" t="n">
        <x:v>5</x:v>
      </x:c>
      <x:c r="I15" s="58" t="n">
        <x:v>4</x:v>
      </x:c>
      <x:c r="J15" s="58" t="n">
        <x:v>4</x:v>
      </x:c>
      <x:c r="K15" s="58" t="n">
        <x:v>2</x:v>
      </x:c>
      <x:c r="L15" s="59" t="n">
        <x:f>ROUND((F15*0.30+G15*0.25+H15*0.20+I15*0.15+J15*0.10)*(6-K15),1)</x:f>
        <x:v>16.8</x:v>
      </x:c>
      <x:c r="M15" s="58" t="str">
        <x:f>IF(L15&gt;=18,"P0",IF(L15&gt;=13,"P1",IF(L15&gt;=8,"P2","P3")))</x:f>
        <x:v>P1</x:v>
      </x:c>
      <x:c r="N15" s="18" t="str">
        <x:v>عباس</x:v>
      </x:c>
      <x:c r="O15" s="18" t="str">
        <x:v>Home QA</x:v>
      </x:c>
      <x:c r="P15" s="18" t="str">
        <x:v>باز</x:v>
      </x:c>
      <x:c r="Q15" s="18" t="str">
        <x:v>هوم در آینده بازطراحی نشود</x:v>
      </x:c>
    </x:row>
    <x:row r="16">
      <x:c r="A16" s="18" t="str">
        <x:v>BL-012</x:v>
      </x:c>
      <x:c r="B16" s="18" t="str">
        <x:v>مسیر و Mount Point حساب مشتری</x:v>
      </x:c>
      <x:c r="C16" s="18" t="str">
        <x:v>Account</x:v>
      </x:c>
      <x:c r="D16" s="18" t="n">
        <x:v>1</x:v>
      </x:c>
      <x:c r="E16" s="18" t="str">
        <x:v>فقط زیرساخت</x:v>
      </x:c>
      <x:c r="F16" s="58" t="n">
        <x:v>3</x:v>
      </x:c>
      <x:c r="G16" s="58" t="n">
        <x:v>4</x:v>
      </x:c>
      <x:c r="H16" s="58" t="n">
        <x:v>5</x:v>
      </x:c>
      <x:c r="I16" s="58" t="n">
        <x:v>4</x:v>
      </x:c>
      <x:c r="J16" s="58" t="n">
        <x:v>3</x:v>
      </x:c>
      <x:c r="K16" s="58" t="n">
        <x:v>2</x:v>
      </x:c>
      <x:c r="L16" s="59" t="n">
        <x:f>ROUND((F16*0.30+G16*0.25+H16*0.20+I16*0.15+J16*0.10)*(6-K16),1)</x:f>
        <x:v>15.2</x:v>
      </x:c>
      <x:c r="M16" s="58" t="str">
        <x:f>IF(L16&gt;=18,"P0",IF(L16&gt;=13,"P1",IF(L16&gt;=8,"P2","P3")))</x:f>
        <x:v>P1</x:v>
      </x:c>
      <x:c r="N16" s="18" t="str">
        <x:v>عباس</x:v>
      </x:c>
      <x:c r="O16" s="18" t="str">
        <x:v>AF-22</x:v>
      </x:c>
      <x:c r="P16" s="18" t="str">
        <x:v>باز</x:v>
      </x:c>
      <x:c r="Q16" s="18" t="str">
        <x:v>بدون ساخت داشبورد پیچیده</x:v>
      </x:c>
    </x:row>
    <x:row r="17">
      <x:c r="A17" s="18" t="str">
        <x:v>BL-013</x:v>
      </x:c>
      <x:c r="B17" s="18" t="str">
        <x:v>ورود با شماره موبایل و OTP</x:v>
      </x:c>
      <x:c r="C17" s="18" t="str">
        <x:v>Identity</x:v>
      </x:c>
      <x:c r="D17" s="18" t="n">
        <x:v>1</x:v>
      </x:c>
      <x:c r="E17" s="18" t="str">
        <x:v>ساخت اکنون</x:v>
      </x:c>
      <x:c r="F17" s="58" t="n">
        <x:v>5</x:v>
      </x:c>
      <x:c r="G17" s="58" t="n">
        <x:v>5</x:v>
      </x:c>
      <x:c r="H17" s="58" t="n">
        <x:v>5</x:v>
      </x:c>
      <x:c r="I17" s="58" t="n">
        <x:v>5</x:v>
      </x:c>
      <x:c r="J17" s="58" t="n">
        <x:v>5</x:v>
      </x:c>
      <x:c r="K17" s="58" t="n">
        <x:v>3</x:v>
      </x:c>
      <x:c r="L17" s="59" t="n">
        <x:f>ROUND((F17*0.30+G17*0.25+H17*0.20+I17*0.15+J17*0.10)*(6-K17),1)</x:f>
        <x:v>15</x:v>
      </x:c>
      <x:c r="M17" s="58" t="str">
        <x:f>IF(L17&gt;=18,"P0",IF(L17&gt;=13,"P1",IF(L17&gt;=8,"P2","P3")))</x:f>
        <x:v>P1</x:v>
      </x:c>
      <x:c r="N17" s="18" t="str">
        <x:v>عباس/QC</x:v>
      </x:c>
      <x:c r="O17" s="18" t="str">
        <x:v>AF-25 تا AF-28</x:v>
      </x:c>
      <x:c r="P17" s="18" t="str">
        <x:v>باز</x:v>
      </x:c>
      <x:c r="Q17" s="18" t="str">
        <x:v>جزء نسخه اولیه؛ بدون IAM پیچیده</x:v>
      </x:c>
    </x:row>
    <x:row r="18">
      <x:c r="A18" s="18" t="str">
        <x:v>BL-014</x:v>
      </x:c>
      <x:c r="B18" s="18" t="str">
        <x:v>Interface سفارش، فاکتور و مانده حساب در داشبورد</x:v>
      </x:c>
      <x:c r="C18" s="18" t="str">
        <x:v>Account</x:v>
      </x:c>
      <x:c r="D18" s="18" t="n">
        <x:v>3</x:v>
      </x:c>
      <x:c r="E18" s="18" t="str">
        <x:v>فقط قرارداد/نقطه اتصال</x:v>
      </x:c>
      <x:c r="F18" s="58" t="n">
        <x:v>4</x:v>
      </x:c>
      <x:c r="G18" s="58" t="n">
        <x:v>4</x:v>
      </x:c>
      <x:c r="H18" s="58" t="n">
        <x:v>4</x:v>
      </x:c>
      <x:c r="I18" s="58" t="n">
        <x:v>5</x:v>
      </x:c>
      <x:c r="J18" s="58" t="n">
        <x:v>2</x:v>
      </x:c>
      <x:c r="K18" s="58" t="n">
        <x:v>3</x:v>
      </x:c>
      <x:c r="L18" s="59" t="n">
        <x:f>ROUND((F18*0.30+G18*0.25+H18*0.20+I18*0.15+J18*0.10)*(6-K18),1)</x:f>
        <x:v>11.9</x:v>
      </x:c>
      <x:c r="M18" s="58" t="str">
        <x:f>IF(L18&gt;=18,"P0",IF(L18&gt;=13,"P1",IF(L18&gt;=8,"P2","P3")))</x:f>
        <x:v>P2</x:v>
      </x:c>
      <x:c r="N18" s="18" t="str">
        <x:v>عباس/آینده</x:v>
      </x:c>
      <x:c r="O18" s="18" t="str">
        <x:v>Account Gate</x:v>
      </x:c>
      <x:c r="P18" s="18" t="str">
        <x:v>ثبت شده</x:v>
      </x:c>
      <x:c r="Q18" s="18" t="str">
        <x:v>پیاده‌سازی پس از راه‌اندازی هسته فروش</x:v>
      </x:c>
    </x:row>
    <x:row r="19">
      <x:c r="A19" s="18" t="str">
        <x:v>BL-015</x:v>
      </x:c>
      <x:c r="B19" s="18" t="str">
        <x:v>Interface تیکت، گفتگو، عکس/فایل و تأیید طرح</x:v>
      </x:c>
      <x:c r="C19" s="18" t="str">
        <x:v>Support</x:v>
      </x:c>
      <x:c r="D19" s="18" t="n">
        <x:v>1</x:v>
      </x:c>
      <x:c r="E19" s="18" t="str">
        <x:v>فقط زیرساخت</x:v>
      </x:c>
      <x:c r="F19" s="58" t="n">
        <x:v>3</x:v>
      </x:c>
      <x:c r="G19" s="58" t="n">
        <x:v>4</x:v>
      </x:c>
      <x:c r="H19" s="58" t="n">
        <x:v>5</x:v>
      </x:c>
      <x:c r="I19" s="58" t="n">
        <x:v>5</x:v>
      </x:c>
      <x:c r="J19" s="58" t="n">
        <x:v>3</x:v>
      </x:c>
      <x:c r="K19" s="58" t="n">
        <x:v>2</x:v>
      </x:c>
      <x:c r="L19" s="59" t="n">
        <x:f>ROUND((F19*0.30+G19*0.25+H19*0.20+I19*0.15+J19*0.10)*(6-K19),1)</x:f>
        <x:v>15.8</x:v>
      </x:c>
      <x:c r="M19" s="58" t="str">
        <x:f>IF(L19&gt;=18,"P0",IF(L19&gt;=13,"P1",IF(L19&gt;=8,"P2","P3")))</x:f>
        <x:v>P1</x:v>
      </x:c>
      <x:c r="N19" s="18" t="str">
        <x:v>عباس</x:v>
      </x:c>
      <x:c r="O19" s="18" t="str">
        <x:v>AF-22</x:v>
      </x:c>
      <x:c r="P19" s="18" t="str">
        <x:v>باز</x:v>
      </x:c>
      <x:c r="Q19" s="18" t="str">
        <x:v>ثبت Interface/Mount/Permission؛ بدون ماژول عملیاتی</x:v>
      </x:c>
    </x:row>
    <x:row r="20">
      <x:c r="A20" s="18" t="str">
        <x:v>BL-016</x:v>
      </x:c>
      <x:c r="B20" s="18" t="str">
        <x:v>ماژول عملیاتی تیکت و گفتگوی پروژه</x:v>
      </x:c>
      <x:c r="C20" s="18" t="str">
        <x:v>Support</x:v>
      </x:c>
      <x:c r="D20" s="18" t="n">
        <x:v>5</x:v>
      </x:c>
      <x:c r="E20" s="18" t="str">
        <x:v>آینده</x:v>
      </x:c>
      <x:c r="F20" s="58" t="n">
        <x:v>3</x:v>
      </x:c>
      <x:c r="G20" s="58" t="n">
        <x:v>2</x:v>
      </x:c>
      <x:c r="H20" s="58" t="n">
        <x:v>3</x:v>
      </x:c>
      <x:c r="I20" s="58" t="n">
        <x:v>5</x:v>
      </x:c>
      <x:c r="J20" s="58" t="n">
        <x:v>1</x:v>
      </x:c>
      <x:c r="K20" s="58" t="n">
        <x:v>5</x:v>
      </x:c>
      <x:c r="L20" s="59" t="n">
        <x:f>ROUND((F20*0.30+G20*0.25+H20*0.20+I20*0.15+J20*0.10)*(6-K20),1)</x:f>
        <x:v>2.9</x:v>
      </x:c>
      <x:c r="M20" s="58" t="str">
        <x:f>IF(L20&gt;=18,"P0",IF(L20&gt;=13,"P1",IF(L20&gt;=8,"P2","P3")))</x:f>
        <x:v>P3</x:v>
      </x:c>
      <x:c r="N20" s="18" t="str">
        <x:v>آینده</x:v>
      </x:c>
      <x:c r="O20" s="18" t="str">
        <x:v>Support Pilot</x:v>
      </x:c>
      <x:c r="P20" s="18" t="str">
        <x:v>تعویق</x:v>
      </x:c>
      <x:c r="Q20" s="18" t="str">
        <x:v>پس از تثبیت فروش و حجم واقعی پشتیبانی</x:v>
      </x:c>
    </x:row>
    <x:row r="21">
      <x:c r="A21" s="18" t="str">
        <x:v>BL-017</x:v>
      </x:c>
      <x:c r="B21" s="18" t="str">
        <x:v>Behavioral Event و Consent Hook برای CRM</x:v>
      </x:c>
      <x:c r="C21" s="18" t="str">
        <x:v>CRM</x:v>
      </x:c>
      <x:c r="D21" s="18" t="n">
        <x:v>1</x:v>
      </x:c>
      <x:c r="E21" s="18" t="str">
        <x:v>فقط زیرساخت</x:v>
      </x:c>
      <x:c r="F21" s="58" t="n">
        <x:v>4</x:v>
      </x:c>
      <x:c r="G21" s="58" t="n">
        <x:v>4</x:v>
      </x:c>
      <x:c r="H21" s="58" t="n">
        <x:v>5</x:v>
      </x:c>
      <x:c r="I21" s="58" t="n">
        <x:v>3</x:v>
      </x:c>
      <x:c r="J21" s="58" t="n">
        <x:v>3</x:v>
      </x:c>
      <x:c r="K21" s="58" t="n">
        <x:v>2</x:v>
      </x:c>
      <x:c r="L21" s="59" t="n">
        <x:f>ROUND((F21*0.30+G21*0.25+H21*0.20+I21*0.15+J21*0.10)*(6-K21),1)</x:f>
        <x:v>15.8</x:v>
      </x:c>
      <x:c r="M21" s="58" t="str">
        <x:f>IF(L21&gt;=18,"P0",IF(L21&gt;=13,"P1",IF(L21&gt;=8,"P2","P3")))</x:f>
        <x:v>P1</x:v>
      </x:c>
      <x:c r="N21" s="18" t="str">
        <x:v>عباس</x:v>
      </x:c>
      <x:c r="O21" s="18" t="str">
        <x:v>Event Gate</x:v>
      </x:c>
      <x:c r="P21" s="18" t="str">
        <x:v>باز</x:v>
      </x:c>
      <x:c r="Q21" s="18" t="str">
        <x:v>رویدادها قابل اتصال باشند؛ داشبورد CRM ساخته نشود</x:v>
      </x:c>
    </x:row>
    <x:row r="22">
      <x:c r="A22" s="18" t="str">
        <x:v>BL-018</x:v>
      </x:c>
      <x:c r="B22" s="18" t="str">
        <x:v>CRM، Customer 360 و Retention Automation</x:v>
      </x:c>
      <x:c r="C22" s="18" t="str">
        <x:v>CRM</x:v>
      </x:c>
      <x:c r="D22" s="18" t="n">
        <x:v>6</x:v>
      </x:c>
      <x:c r="E22" s="18" t="str">
        <x:v>آینده</x:v>
      </x:c>
      <x:c r="F22" s="58" t="n">
        <x:v>3</x:v>
      </x:c>
      <x:c r="G22" s="58" t="n">
        <x:v>2</x:v>
      </x:c>
      <x:c r="H22" s="58" t="n">
        <x:v>2</x:v>
      </x:c>
      <x:c r="I22" s="58" t="n">
        <x:v>3</x:v>
      </x:c>
      <x:c r="J22" s="58" t="n">
        <x:v>1</x:v>
      </x:c>
      <x:c r="K22" s="58" t="n">
        <x:v>5</x:v>
      </x:c>
      <x:c r="L22" s="59" t="n">
        <x:f>ROUND((F22*0.30+G22*0.25+H22*0.20+I22*0.15+J22*0.10)*(6-K22),1)</x:f>
        <x:v>2.4</x:v>
      </x:c>
      <x:c r="M22" s="58" t="str">
        <x:f>IF(L22&gt;=18,"P0",IF(L22&gt;=13,"P1",IF(L22&gt;=8,"P2","P3")))</x:f>
        <x:v>P3</x:v>
      </x:c>
      <x:c r="N22" s="18" t="str">
        <x:v>آینده</x:v>
      </x:c>
      <x:c r="O22" s="18" t="str">
        <x:v>CRM Business Case</x:v>
      </x:c>
      <x:c r="P22" s="18" t="str">
        <x:v>تعویق</x:v>
      </x:c>
      <x:c r="Q22" s="18" t="str">
        <x:v>پس از ایجاد حجم داده و فروش واقعی</x:v>
      </x:c>
    </x:row>
    <x:row r="23">
      <x:c r="A23" s="18" t="str">
        <x:v>BL-019</x:v>
      </x:c>
      <x:c r="B23" s="18" t="str">
        <x:v>Policy نمایش قیمت/تقویم اجاره فقط پس از ورود</x:v>
      </x:c>
      <x:c r="C23" s="18" t="str">
        <x:v>Rental/Security</x:v>
      </x:c>
      <x:c r="D23" s="18" t="n">
        <x:v>1</x:v>
      </x:c>
      <x:c r="E23" s="18" t="str">
        <x:v>فقط زیرساخت</x:v>
      </x:c>
      <x:c r="F23" s="58" t="n">
        <x:v>3</x:v>
      </x:c>
      <x:c r="G23" s="58" t="n">
        <x:v>5</x:v>
      </x:c>
      <x:c r="H23" s="58" t="n">
        <x:v>5</x:v>
      </x:c>
      <x:c r="I23" s="58" t="n">
        <x:v>4</x:v>
      </x:c>
      <x:c r="J23" s="58" t="n">
        <x:v>4</x:v>
      </x:c>
      <x:c r="K23" s="58" t="n">
        <x:v>2</x:v>
      </x:c>
      <x:c r="L23" s="59" t="n">
        <x:f>ROUND((F23*0.30+G23*0.25+H23*0.20+I23*0.15+J23*0.10)*(6-K23),1)</x:f>
        <x:v>16.6</x:v>
      </x:c>
      <x:c r="M23" s="58" t="str">
        <x:f>IF(L23&gt;=18,"P0",IF(L23&gt;=13,"P1",IF(L23&gt;=8,"P2","P3")))</x:f>
        <x:v>P1</x:v>
      </x:c>
      <x:c r="N23" s="18" t="str">
        <x:v>عباس/QC</x:v>
      </x:c>
      <x:c r="O23" s="18" t="str">
        <x:v>AF-21</x:v>
      </x:c>
      <x:c r="P23" s="18" t="str">
        <x:v>باز</x:v>
      </x:c>
      <x:c r="Q23" s="18" t="str">
        <x:v>اجرای UI/API در فاز ۴</x:v>
      </x:c>
    </x:row>
    <x:row r="24">
      <x:c r="A24" s="18" t="str">
        <x:v>BL-020</x:v>
      </x:c>
      <x:c r="B24" s="18" t="str">
        <x:v>Calendar Publication و Protected Hold مشتری منتخب</x:v>
      </x:c>
      <x:c r="C24" s="18" t="str">
        <x:v>Rental/Operations</x:v>
      </x:c>
      <x:c r="D24" s="18" t="n">
        <x:v>4</x:v>
      </x:c>
      <x:c r="E24" s="18" t="str">
        <x:v>ماژول آینده</x:v>
      </x:c>
      <x:c r="F24" s="58" t="n">
        <x:v>3</x:v>
      </x:c>
      <x:c r="G24" s="58" t="n">
        <x:v>3</x:v>
      </x:c>
      <x:c r="H24" s="58" t="n">
        <x:v>5</x:v>
      </x:c>
      <x:c r="I24" s="58" t="n">
        <x:v>5</x:v>
      </x:c>
      <x:c r="J24" s="58" t="n">
        <x:v>2</x:v>
      </x:c>
      <x:c r="K24" s="58" t="n">
        <x:v>4</x:v>
      </x:c>
      <x:c r="L24" s="59" t="n">
        <x:f>ROUND((F24*0.30+G24*0.25+H24*0.20+I24*0.15+J24*0.10)*(6-K24),1)</x:f>
        <x:v>7.2</x:v>
      </x:c>
      <x:c r="M24" s="58" t="str">
        <x:f>IF(L24&gt;=18,"P0",IF(L24&gt;=13,"P1",IF(L24&gt;=8,"P2","P3")))</x:f>
        <x:v>P3</x:v>
      </x:c>
      <x:c r="N24" s="18" t="str">
        <x:v>عباس/آینده</x:v>
      </x:c>
      <x:c r="O24" s="18" t="str">
        <x:v>AF-23/24</x:v>
      </x:c>
      <x:c r="P24" s="18" t="str">
        <x:v>آینده</x:v>
      </x:c>
      <x:c r="Q24" s="18" t="str">
        <x:v>مدیر قبل از انتشار عمومی تقویم برخی دوره‌ها را خصوصی نگه می‌دارد</x:v>
      </x:c>
    </x:row>
    <x:row r="25">
      <x:c r="A25" s="18" t="str">
        <x:v>BL-021</x:v>
      </x:c>
      <x:c r="B25" s="18" t="str">
        <x:v>ماژول کامل اجاره رسانه</x:v>
      </x:c>
      <x:c r="C25" s="18" t="str">
        <x:v>Rental</x:v>
      </x:c>
      <x:c r="D25" s="18" t="n">
        <x:v>4</x:v>
      </x:c>
      <x:c r="E25" s="18" t="str">
        <x:v>ماژول آینده</x:v>
      </x:c>
      <x:c r="F25" s="58" t="n">
        <x:v>4</x:v>
      </x:c>
      <x:c r="G25" s="58" t="n">
        <x:v>3</x:v>
      </x:c>
      <x:c r="H25" s="58" t="n">
        <x:v>4</x:v>
      </x:c>
      <x:c r="I25" s="58" t="n">
        <x:v>5</x:v>
      </x:c>
      <x:c r="J25" s="58" t="n">
        <x:v>2</x:v>
      </x:c>
      <x:c r="K25" s="58" t="n">
        <x:v>5</x:v>
      </x:c>
      <x:c r="L25" s="59" t="n">
        <x:f>ROUND((F25*0.30+G25*0.25+H25*0.20+I25*0.15+J25*0.10)*(6-K25),1)</x:f>
        <x:v>3.7</x:v>
      </x:c>
      <x:c r="M25" s="58" t="str">
        <x:f>IF(L25&gt;=18,"P0",IF(L25&gt;=13,"P1",IF(L25&gt;=8,"P2","P3")))</x:f>
        <x:v>P3</x:v>
      </x:c>
      <x:c r="N25" s="18" t="str">
        <x:v>عباس/آینده</x:v>
      </x:c>
      <x:c r="O25" s="18" t="str">
        <x:v>AF-18 تا AF-24</x:v>
      </x:c>
      <x:c r="P25" s="18" t="str">
        <x:v>آینده</x:v>
      </x:c>
      <x:c r="Q25" s="18" t="str">
        <x:v>افزونه مستقل و افزایشی</x:v>
      </x:c>
    </x:row>
    <x:row r="26">
      <x:c r="A26" s="18" t="str">
        <x:v>BL-022</x:v>
      </x:c>
      <x:c r="B26" s="18" t="str">
        <x:v>نقشه و جست‌وجوی رسانه</x:v>
      </x:c>
      <x:c r="C26" s="18" t="str">
        <x:v>Rental/Map</x:v>
      </x:c>
      <x:c r="D26" s="18" t="n">
        <x:v>4</x:v>
      </x:c>
      <x:c r="E26" s="18" t="str">
        <x:v>ماژول آینده</x:v>
      </x:c>
      <x:c r="F26" s="58" t="n">
        <x:v>3</x:v>
      </x:c>
      <x:c r="G26" s="58" t="n">
        <x:v>2</x:v>
      </x:c>
      <x:c r="H26" s="58" t="n">
        <x:v>3</x:v>
      </x:c>
      <x:c r="I26" s="58" t="n">
        <x:v>5</x:v>
      </x:c>
      <x:c r="J26" s="58" t="n">
        <x:v>1</x:v>
      </x:c>
      <x:c r="K26" s="58" t="n">
        <x:v>5</x:v>
      </x:c>
      <x:c r="L26" s="59" t="n">
        <x:f>ROUND((F26*0.30+G26*0.25+H26*0.20+I26*0.15+J26*0.10)*(6-K26),1)</x:f>
        <x:v>2.9</x:v>
      </x:c>
      <x:c r="M26" s="58" t="str">
        <x:f>IF(L26&gt;=18,"P0",IF(L26&gt;=13,"P1",IF(L26&gt;=8,"P2","P3")))</x:f>
        <x:v>P3</x:v>
      </x:c>
      <x:c r="N26" s="18" t="str">
        <x:v>آینده</x:v>
      </x:c>
      <x:c r="O26" s="18" t="str">
        <x:v>Map Pilot</x:v>
      </x:c>
      <x:c r="P26" s="18" t="str">
        <x:v>آینده</x:v>
      </x:c>
      <x:c r="Q26" s="18" t="str">
        <x:v>پس از داده واقعی و انتخاب Provider</x:v>
      </x:c>
    </x:row>
    <x:row r="27">
      <x:c r="A27" s="18" t="str">
        <x:v>BL-023</x:v>
      </x:c>
      <x:c r="B27" s="18" t="str">
        <x:v>درگاه و پیامک Production</x:v>
      </x:c>
      <x:c r="C27" s="18" t="str">
        <x:v>Integration</x:v>
      </x:c>
      <x:c r="D27" s="18" t="n">
        <x:v>3</x:v>
      </x:c>
      <x:c r="E27" s="18" t="str">
        <x:v>بعد از Sandbox</x:v>
      </x:c>
      <x:c r="F27" s="58" t="n">
        <x:v>5</x:v>
      </x:c>
      <x:c r="G27" s="58" t="n">
        <x:v>4</x:v>
      </x:c>
      <x:c r="H27" s="58" t="n">
        <x:v>4</x:v>
      </x:c>
      <x:c r="I27" s="58" t="n">
        <x:v>5</x:v>
      </x:c>
      <x:c r="J27" s="58" t="n">
        <x:v>4</x:v>
      </x:c>
      <x:c r="K27" s="58" t="n">
        <x:v>4</x:v>
      </x:c>
      <x:c r="L27" s="59" t="n">
        <x:f>ROUND((F27*0.30+G27*0.25+H27*0.20+I27*0.15+J27*0.10)*(6-K27),1)</x:f>
        <x:v>8.9</x:v>
      </x:c>
      <x:c r="M27" s="58" t="str">
        <x:f>IF(L27&gt;=18,"P0",IF(L27&gt;=13,"P1",IF(L27&gt;=8,"P2","P3")))</x:f>
        <x:v>P2</x:v>
      </x:c>
      <x:c r="N27" s="18" t="str">
        <x:v>عباس/مالک</x:v>
      </x:c>
      <x:c r="O27" s="18" t="str">
        <x:v>Sandbox Gate</x:v>
      </x:c>
      <x:c r="P27" s="18" t="str">
        <x:v>باز</x:v>
      </x:c>
      <x:c r="Q27" s="18" t="str">
        <x:v>اتصال فقط پس از سیاست‌ها و حساب حقوقی</x:v>
      </x:c>
    </x:row>
    <x:row r="28">
      <x:c r="A28" s="18" t="str">
        <x:v>BL-024</x:v>
      </x:c>
      <x:c r="B28" s="18" t="str">
        <x:v>صفحات خدمات، محصولات، پروژه‌ها و Portfolio</x:v>
      </x:c>
      <x:c r="C28" s="18" t="str">
        <x:v>Content/SEO</x:v>
      </x:c>
      <x:c r="D28" s="18" t="n">
        <x:v>3</x:v>
      </x:c>
      <x:c r="E28" s="18" t="str">
        <x:v>ساخت اکنون</x:v>
      </x:c>
      <x:c r="F28" s="58" t="n">
        <x:v>5</x:v>
      </x:c>
      <x:c r="G28" s="58" t="n">
        <x:v>4</x:v>
      </x:c>
      <x:c r="H28" s="58" t="n">
        <x:v>4</x:v>
      </x:c>
      <x:c r="I28" s="58" t="n">
        <x:v>5</x:v>
      </x:c>
      <x:c r="J28" s="58" t="n">
        <x:v>5</x:v>
      </x:c>
      <x:c r="K28" s="58" t="n">
        <x:v>4</x:v>
      </x:c>
      <x:c r="L28" s="59" t="n">
        <x:f>ROUND((F28*0.30+G28*0.25+H28*0.20+I28*0.15+J28*0.10)*(6-K28),1)</x:f>
        <x:v>9.1</x:v>
      </x:c>
      <x:c r="M28" s="58" t="str">
        <x:f>IF(L28&gt;=18,"P0",IF(L28&gt;=13,"P1",IF(L28&gt;=8,"P2","P3")))</x:f>
        <x:v>P2</x:v>
      </x:c>
      <x:c r="N28" s="18" t="str">
        <x:v>عباس/محتوا</x:v>
      </x:c>
      <x:c r="O28" s="18" t="str">
        <x:v>Page QA</x:v>
      </x:c>
      <x:c r="P28" s="18" t="str">
        <x:v>باز</x:v>
      </x:c>
      <x:c r="Q28" s="18" t="str">
        <x:v>بخش اصلی رتبه‌گیری و تبدیل</x:v>
      </x:c>
    </x:row>
    <x:row r="29">
      <x:c r="A29" s="18" t="str">
        <x:v>BL-025</x:v>
      </x:c>
      <x:c r="B29" s="18" t="str">
        <x:v>Pillar/Cluster و برنامه انتشار محتوای اصیل</x:v>
      </x:c>
      <x:c r="C29" s="18" t="str">
        <x:v>Content/SEO</x:v>
      </x:c>
      <x:c r="D29" s="18" t="n">
        <x:v>3</x:v>
      </x:c>
      <x:c r="E29" s="18" t="str">
        <x:v>ساخت اکنون</x:v>
      </x:c>
      <x:c r="F29" s="58" t="n">
        <x:v>5</x:v>
      </x:c>
      <x:c r="G29" s="58" t="n">
        <x:v>3</x:v>
      </x:c>
      <x:c r="H29" s="58" t="n">
        <x:v>3</x:v>
      </x:c>
      <x:c r="I29" s="58" t="n">
        <x:v>5</x:v>
      </x:c>
      <x:c r="J29" s="58" t="n">
        <x:v>5</x:v>
      </x:c>
      <x:c r="K29" s="58" t="n">
        <x:v>4</x:v>
      </x:c>
      <x:c r="L29" s="59" t="n">
        <x:f>ROUND((F29*0.30+G29*0.25+H29*0.20+I29*0.15+J29*0.10)*(6-K29),1)</x:f>
        <x:v>8.2</x:v>
      </x:c>
      <x:c r="M29" s="58" t="str">
        <x:f>IF(L29&gt;=18,"P0",IF(L29&gt;=13,"P1",IF(L29&gt;=8,"P2","P3")))</x:f>
        <x:v>P2</x:v>
      </x:c>
      <x:c r="N29" s="18" t="str">
        <x:v>مالک/محتوا</x:v>
      </x:c>
      <x:c r="O29" s="18" t="str">
        <x:v>Content Gate</x:v>
      </x:c>
      <x:c r="P29" s="18" t="str">
        <x:v>باز</x:v>
      </x:c>
      <x:c r="Q29" s="18" t="str">
        <x:v>محتوای پاسخ‌محور با شواهد و تصاویر واقعی</x:v>
      </x:c>
    </x:row>
    <x:row r="30">
      <x:c r="A30" s="18" t="str">
        <x:v>BL-026</x:v>
      </x:c>
      <x:c r="B30" s="18" t="str">
        <x:v>مهاجرت URL و Redirect بر اساس GSC/Crawl</x:v>
      </x:c>
      <x:c r="C30" s="18" t="str">
        <x:v>SEO/Migration</x:v>
      </x:c>
      <x:c r="D30" s="18" t="n">
        <x:v>3</x:v>
      </x:c>
      <x:c r="E30" s="18" t="str">
        <x:v>ساخت اکنون</x:v>
      </x:c>
      <x:c r="F30" s="58" t="n">
        <x:v>5</x:v>
      </x:c>
      <x:c r="G30" s="58" t="n">
        <x:v>4</x:v>
      </x:c>
      <x:c r="H30" s="58" t="n">
        <x:v>5</x:v>
      </x:c>
      <x:c r="I30" s="58" t="n">
        <x:v>3</x:v>
      </x:c>
      <x:c r="J30" s="58" t="n">
        <x:v>5</x:v>
      </x:c>
      <x:c r="K30" s="58" t="n">
        <x:v>3</x:v>
      </x:c>
      <x:c r="L30" s="59" t="n">
        <x:f>ROUND((F30*0.30+G30*0.25+H30*0.20+I30*0.15+J30*0.10)*(6-K30),1)</x:f>
        <x:v>13.4</x:v>
      </x:c>
      <x:c r="M30" s="58" t="str">
        <x:f>IF(L30&gt;=18,"P0",IF(L30&gt;=13,"P1",IF(L30&gt;=8,"P2","P3")))</x:f>
        <x:v>P1</x:v>
      </x:c>
      <x:c r="N30" s="18" t="str">
        <x:v>عباس/QC</x:v>
      </x:c>
      <x:c r="O30" s="18" t="str">
        <x:v>Migration Gate</x:v>
      </x:c>
      <x:c r="P30" s="18" t="str">
        <x:v>باز</x:v>
      </x:c>
      <x:c r="Q30" s="18" t="str">
        <x:v>حفاظت از دارایی فعلی جست‌وجو</x:v>
      </x:c>
    </x:row>
    <x:row r="31">
      <x:c r="A31" s="18" t="str">
        <x:v>BL-027</x:v>
      </x:c>
      <x:c r="B31" s="18" t="str">
        <x:v>حساب چندکاربره سازمانی</x:v>
      </x:c>
      <x:c r="C31" s="18" t="str">
        <x:v>B2B Account</x:v>
      </x:c>
      <x:c r="D31" s="18" t="n">
        <x:v>7</x:v>
      </x:c>
      <x:c r="E31" s="18" t="str">
        <x:v>آینده دور</x:v>
      </x:c>
      <x:c r="F31" s="58" t="n">
        <x:v>2</x:v>
      </x:c>
      <x:c r="G31" s="58" t="n">
        <x:v>1</x:v>
      </x:c>
      <x:c r="H31" s="58" t="n">
        <x:v>2</x:v>
      </x:c>
      <x:c r="I31" s="58" t="n">
        <x:v>3</x:v>
      </x:c>
      <x:c r="J31" s="58" t="n">
        <x:v>0</x:v>
      </x:c>
      <x:c r="K31" s="58" t="n">
        <x:v>5</x:v>
      </x:c>
      <x:c r="L31" s="59" t="n">
        <x:f>ROUND((F31*0.30+G31*0.25+H31*0.20+I31*0.15+J31*0.10)*(6-K31),1)</x:f>
        <x:v>1.7</x:v>
      </x:c>
      <x:c r="M31" s="58" t="str">
        <x:f>IF(L31&gt;=18,"P0",IF(L31&gt;=13,"P1",IF(L31&gt;=8,"P2","P3")))</x:f>
        <x:v>P3</x:v>
      </x:c>
      <x:c r="N31" s="18" t="str">
        <x:v>آینده</x:v>
      </x:c>
      <x:c r="O31" s="18" t="str">
        <x:v>Business Need</x:v>
      </x:c>
      <x:c r="P31" s="18" t="str">
        <x:v>تعویق</x:v>
      </x:c>
      <x:c r="Q31" s="18" t="str">
        <x:v>در نسخه اولیه نیاز نیست</x:v>
      </x:c>
    </x:row>
  </x:sheetData>
  <x:mergeCells>
    <x:mergeCell ref="A1:Q1"/>
    <x:mergeCell ref="A2:Q2"/>
    <x:mergeCell ref="S1:V1"/>
  </x:mergeCells>
  <x:conditionalFormatting sqref="M5:M31">
    <x:cfRule type="expression" dxfId="7" priority="1">
      <x:formula>M5="P0"</x:formula>
    </x:cfRule>
    <x:cfRule type="expression" dxfId="8" priority="2">
      <x:formula>M5="P1"</x:formula>
    </x:cfRule>
    <x:cfRule type="expression" dxfId="9" priority="3">
      <x:formula>M5="P2"</x:formula>
    </x:cfRule>
    <x:cfRule type="expression" dxfId="10" priority="4">
      <x:formula>M5="P3"</x:formula>
    </x:cfRule>
  </x:conditionalFormatting>
  <x:dataValidations count="2">
    <x:dataValidation type="list" sqref="P5:P31">
      <x:formula1>"باز,ثبت شده,آینده,تعویق,در حال اجرا,تکمیل"</x:formula1>
    </x:dataValidation>
    <x:dataValidation type="list" sqref="E5:E31">
      <x:formula1>"ساخت اکنون,فقط زیرساخت,فقط قرارداد/نقطه اتصال,بعد از Sandbox,ماژول آینده,آینده,آینده دور"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e9c89df7a7e4087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28" hidden="0" customWidth="1"/>
    <x:col min="4" max="4" width="22" hidden="0" customWidth="1"/>
    <x:col min="5" max="5" width="18" hidden="0" customWidth="1"/>
    <x:col min="6" max="6" width="28" hidden="0" customWidth="1"/>
    <x:col min="7" max="7" width="24" hidden="0" customWidth="1"/>
    <x:col min="8" max="8" width="16" hidden="0" customWidth="1"/>
  </x:cols>
  <x:sheetData>
    <x:row r="1">
      <x:c r="A1" s="76" t="str">
        <x:v>قفل نهایی معماری، دامنه و تغییرات - v4.2</x:v>
      </x:c>
      <x:c r="B1" s="76"/>
      <x:c r="C1" s="76"/>
      <x:c r="D1" s="76"/>
      <x:c r="E1" s="76"/>
      <x:c r="F1" s="76"/>
      <x:c r="G1" s="76"/>
      <x:c r="H1" s="76"/>
    </x:row>
    <x:row r="3">
      <x:c r="A3" s="80" t="str">
        <x:v>نوع درخواست</x:v>
      </x:c>
      <x:c r="B3" s="80" t="str">
        <x:v>قبل از رونمایی؟</x:v>
      </x:c>
      <x:c r="C3" s="80" t="str">
        <x:v>نمونه</x:v>
      </x:c>
      <x:c r="D3" s="80" t="str">
        <x:v>اقدام</x:v>
      </x:c>
      <x:c r="E3" s="80" t="str">
        <x:v>تصمیم‌گیر</x:v>
      </x:c>
      <x:c r="F3" s="80" t="str">
        <x:v>شاهد</x:v>
      </x:c>
      <x:c r="G3" s="80" t="str">
        <x:v>اثر بر عباس</x:v>
      </x:c>
      <x:c r="H3" s="80" t="str">
        <x:v>وضعیت</x:v>
      </x:c>
    </x:row>
    <x:row r="4">
      <x:c r="A4" s="18" t="str">
        <x:v>Blocker انتشار</x:v>
      </x:c>
      <x:c r="B4" s="18" t="str">
        <x:v>بله</x:v>
      </x:c>
      <x:c r="C4" s="18" t="str">
        <x:v>صفحه/مسیر اصلی خراب</x:v>
      </x:c>
      <x:c r="D4" s="18" t="str">
        <x:v>اصلاح فوری</x:v>
      </x:c>
      <x:c r="E4" s="18" t="str">
        <x:v>عباس/QC</x:v>
      </x:c>
      <x:c r="F4" s="18" t="str">
        <x:v>تست رفع</x:v>
      </x:c>
      <x:c r="G4" s="18" t="str">
        <x:v>ممکن است توقف</x:v>
      </x:c>
      <x:c r="H4" s="18" t="str">
        <x:v>مجاز</x:v>
      </x:c>
    </x:row>
    <x:row r="5">
      <x:c r="A5" s="18" t="str">
        <x:v>امنیت/حریم خصوصی</x:v>
      </x:c>
      <x:c r="B5" s="18" t="str">
        <x:v>بله</x:v>
      </x:c>
      <x:c r="C5" s="18" t="str">
        <x:v>ضعف OTP یا نشت داده</x:v>
      </x:c>
      <x:c r="D5" s="18" t="str">
        <x:v>اصلاح فوری</x:v>
      </x:c>
      <x:c r="E5" s="18" t="str">
        <x:v>عباس/QC</x:v>
      </x:c>
      <x:c r="F5" s="18" t="str">
        <x:v>Security evidence</x:v>
      </x:c>
      <x:c r="G5" s="18" t="str">
        <x:v>ممکن است توقف</x:v>
      </x:c>
      <x:c r="H5" s="18" t="str">
        <x:v>مجاز</x:v>
      </x:c>
    </x:row>
    <x:row r="6">
      <x:c r="A6" s="18" t="str">
        <x:v>SEO حیاتی</x:v>
      </x:c>
      <x:c r="B6" s="18" t="str">
        <x:v>بله</x:v>
      </x:c>
      <x:c r="C6" s="18" t="str">
        <x:v>noindex/canonical/redirect خراب</x:v>
      </x:c>
      <x:c r="D6" s="18" t="str">
        <x:v>اصلاح فوری</x:v>
      </x:c>
      <x:c r="E6" s="18" t="str">
        <x:v>QC/عباس</x:v>
      </x:c>
      <x:c r="F6" s="18" t="str">
        <x:v>Crawl evidence</x:v>
      </x:c>
      <x:c r="G6" s="18" t="str">
        <x:v>ممکن است توقف</x:v>
      </x:c>
      <x:c r="H6" s="18" t="str">
        <x:v>مجاز</x:v>
      </x:c>
    </x:row>
    <x:row r="7">
      <x:c r="A7" s="18" t="str">
        <x:v>فروش حیاتی</x:v>
      </x:c>
      <x:c r="B7" s="18" t="str">
        <x:v>بله</x:v>
      </x:c>
      <x:c r="C7" s="18" t="str">
        <x:v>Cart/Checkout/Payment خراب</x:v>
      </x:c>
      <x:c r="D7" s="18" t="str">
        <x:v>اصلاح فوری</x:v>
      </x:c>
      <x:c r="E7" s="18" t="str">
        <x:v>عباس/QC</x:v>
      </x:c>
      <x:c r="F7" s="18" t="str">
        <x:v>Transaction evidence</x:v>
      </x:c>
      <x:c r="G7" s="18" t="str">
        <x:v>ممکن است توقف</x:v>
      </x:c>
      <x:c r="H7" s="18" t="str">
        <x:v>مجاز</x:v>
      </x:c>
    </x:row>
    <x:row r="8">
      <x:c r="A8" s="18" t="str">
        <x:v>قابلیت مفید جدید</x:v>
      </x:c>
      <x:c r="B8" s="18" t="str">
        <x:v>خیر</x:v>
      </x:c>
      <x:c r="C8" s="18" t="str">
        <x:v>داشبورد تازه</x:v>
      </x:c>
      <x:c r="D8" s="18" t="str">
        <x:v>ثبت بک‌لاگ</x:v>
      </x:c>
      <x:c r="E8" s="18" t="str">
        <x:v>مالک</x:v>
      </x:c>
      <x:c r="F8" s="18" t="str">
        <x:v>داده پس از رونمایی</x:v>
      </x:c>
      <x:c r="G8" s="18" t="str">
        <x:v>بدون تغییر</x:v>
      </x:c>
      <x:c r="H8" s="18" t="str">
        <x:v>ممنوع فعلی</x:v>
      </x:c>
    </x:row>
    <x:row r="9">
      <x:c r="A9" s="18" t="str">
        <x:v>ماژول آینده</x:v>
      </x:c>
      <x:c r="B9" s="18" t="str">
        <x:v>خیر</x:v>
      </x:c>
      <x:c r="C9" s="18" t="str">
        <x:v>Ticket/CRM/Rental</x:v>
      </x:c>
      <x:c r="D9" s="18" t="str">
        <x:v>پروژه مستقل</x:v>
      </x:c>
      <x:c r="E9" s="18" t="str">
        <x:v>مالک</x:v>
      </x:c>
      <x:c r="F9" s="18" t="str">
        <x:v>Business case</x:v>
      </x:c>
      <x:c r="G9" s="18" t="str">
        <x:v>بدون تغییر</x:v>
      </x:c>
      <x:c r="H9" s="18" t="str">
        <x:v>ممنوع فعلی</x:v>
      </x:c>
    </x:row>
    <x:row r="10">
      <x:c r="A10" s="18" t="str">
        <x:v>تغییر معماری</x:v>
      </x:c>
      <x:c r="B10" s="18" t="str">
        <x:v>خیر</x:v>
      </x:c>
      <x:c r="C10" s="18" t="str">
        <x:v>Entity/URL تازه</x:v>
      </x:c>
      <x:c r="D10" s="18" t="str">
        <x:v>بعد از چرخه ۳۰ روزه</x:v>
      </x:c>
      <x:c r="E10" s="18" t="str">
        <x:v>مالک/QC</x:v>
      </x:c>
      <x:c r="F10" s="18" t="str">
        <x:v>Migration plan</x:v>
      </x:c>
      <x:c r="G10" s="18" t="str">
        <x:v>بدون تغییر</x:v>
      </x:c>
      <x:c r="H10" s="18" t="str">
        <x:v>ممنوع فعلی</x:v>
      </x:c>
    </x:row>
    <x:row r="11" ht="26.399999618530273" hidden="0" customHeight="1">
      <x:c r="A11" s="18" t="str">
        <x:v>ناسازگاری قرارداد Route</x:v>
      </x:c>
      <x:c r="B11" s="18" t="str">
        <x:v>بله</x:v>
      </x:c>
      <x:c r="C11" s="18" t="str">
        <x:v>لینک هوم بدون Route یا Namespace ثبت‌نشده</x:v>
      </x:c>
      <x:c r="D11" s="18" t="str">
        <x:v>اصلاح رسمی قرارداد و Regression test</x:v>
      </x:c>
      <x:c r="E11" s="18" t="str">
        <x:v>QC/عباس</x:v>
      </x:c>
      <x:c r="F11" s="18" t="str">
        <x:v>Exact-route audit</x:v>
      </x:c>
      <x:c r="G11" s="18" t="str">
        <x:v>ممکن است توقف</x:v>
      </x:c>
      <x:c r="H11" s="18" t="str">
        <x:v>مجاز</x:v>
      </x:c>
    </x:row>
  </x:sheetData>
  <x:mergeCells>
    <x:mergeCell ref="A1:H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28" hidden="0" customWidth="1"/>
    <x:col min="4" max="4" width="32" hidden="0" customWidth="1"/>
    <x:col min="5" max="5" width="10" hidden="0" customWidth="1"/>
    <x:col min="6" max="6" width="18" hidden="0" customWidth="1"/>
    <x:col min="7" max="7" width="18" hidden="0" customWidth="1"/>
    <x:col min="8" max="8" width="14" hidden="0" customWidth="1"/>
  </x:cols>
  <x:sheetData>
    <x:row r="1">
      <x:c r="A1" s="76" t="str">
        <x:v>ورود با شماره موبایل و حساب پایه - الزامی نسخه اولیه</x:v>
      </x:c>
      <x:c r="B1" s="76"/>
      <x:c r="C1" s="76"/>
      <x:c r="D1" s="76"/>
      <x:c r="E1" s="76"/>
      <x:c r="F1" s="76"/>
      <x:c r="G1" s="76"/>
      <x:c r="H1" s="76"/>
    </x:row>
    <x:row r="3">
      <x:c r="A3" s="80" t="str">
        <x:v>کد</x:v>
      </x:c>
      <x:c r="B3" s="80" t="str">
        <x:v>بخش</x:v>
      </x:c>
      <x:c r="C3" s="80" t="str">
        <x:v>الزام</x:v>
      </x:c>
      <x:c r="D3" s="80" t="str">
        <x:v>رفتار</x:v>
      </x:c>
      <x:c r="E3" s="80" t="str">
        <x:v>فاز</x:v>
      </x:c>
      <x:c r="F3" s="80" t="str">
        <x:v>مسئول</x:v>
      </x:c>
      <x:c r="G3" s="80" t="str">
        <x:v>تست</x:v>
      </x:c>
      <x:c r="H3" s="80" t="str">
        <x:v>وضعیت</x:v>
      </x:c>
    </x:row>
    <x:row r="4">
      <x:c r="A4" s="18" t="str">
        <x:v>OTP-01</x:v>
      </x:c>
      <x:c r="B4" s="18" t="str">
        <x:v>موبایل</x:v>
      </x:c>
      <x:c r="C4" s="18" t="str">
        <x:v>Unique normalized</x:v>
      </x:c>
      <x:c r="D4" s="18" t="str">
        <x:v>+98 canonical / 09 display</x:v>
      </x:c>
      <x:c r="E4" s="18" t="n">
        <x:v>1</x:v>
      </x:c>
      <x:c r="F4" s="18" t="str">
        <x:v>عباس</x:v>
      </x:c>
      <x:c r="G4" s="18" t="str">
        <x:v>AF-25</x:v>
      </x:c>
      <x:c r="H4" s="18" t="str">
        <x:v>باز</x:v>
      </x:c>
    </x:row>
    <x:row r="5">
      <x:c r="A5" s="18" t="str">
        <x:v>OTP-02</x:v>
      </x:c>
      <x:c r="B5" s="18" t="str">
        <x:v>درخواست</x:v>
      </x:c>
      <x:c r="C5" s="18" t="str">
        <x:v>Server rate limit</x:v>
      </x:c>
      <x:c r="D5" s="18" t="str">
        <x:v>phone + IP</x:v>
      </x:c>
      <x:c r="E5" s="18" t="n">
        <x:v>1</x:v>
      </x:c>
      <x:c r="F5" s="18" t="str">
        <x:v>عباس</x:v>
      </x:c>
      <x:c r="G5" s="18" t="str">
        <x:v>AF-26</x:v>
      </x:c>
      <x:c r="H5" s="18" t="str">
        <x:v>باز</x:v>
      </x:c>
    </x:row>
    <x:row r="6">
      <x:c r="A6" s="18" t="str">
        <x:v>OTP-03</x:v>
      </x:c>
      <x:c r="B6" s="18" t="str">
        <x:v>ذخیره</x:v>
      </x:c>
      <x:c r="C6" s="18" t="str">
        <x:v>No plaintext</x:v>
      </x:c>
      <x:c r="D6" s="18" t="str">
        <x:v>hash + expiry + one-time</x:v>
      </x:c>
      <x:c r="E6" s="18" t="n">
        <x:v>1</x:v>
      </x:c>
      <x:c r="F6" s="18" t="str">
        <x:v>عباس</x:v>
      </x:c>
      <x:c r="G6" s="18" t="str">
        <x:v>AF-26</x:v>
      </x:c>
      <x:c r="H6" s="18" t="str">
        <x:v>باز</x:v>
      </x:c>
    </x:row>
    <x:row r="7">
      <x:c r="A7" s="18" t="str">
        <x:v>OTP-04</x:v>
      </x:c>
      <x:c r="B7" s="18" t="str">
        <x:v>تأیید</x:v>
      </x:c>
      <x:c r="C7" s="18" t="str">
        <x:v>Anti-enumeration</x:v>
      </x:c>
      <x:c r="D7" s="18" t="str">
        <x:v>generic errors</x:v>
      </x:c>
      <x:c r="E7" s="18" t="n">
        <x:v>1</x:v>
      </x:c>
      <x:c r="F7" s="18" t="str">
        <x:v>عباس</x:v>
      </x:c>
      <x:c r="G7" s="18" t="str">
        <x:v>AF-26</x:v>
      </x:c>
      <x:c r="H7" s="18" t="str">
        <x:v>باز</x:v>
      </x:c>
    </x:row>
    <x:row r="8">
      <x:c r="A8" s="18" t="str">
        <x:v>OTP-05</x:v>
      </x:c>
      <x:c r="B8" s="18" t="str">
        <x:v>حساب موجود</x:v>
      </x:c>
      <x:c r="C8" s="18" t="str">
        <x:v>Same Customer</x:v>
      </x:c>
      <x:c r="D8" s="18" t="str">
        <x:v>verified mobile only</x:v>
      </x:c>
      <x:c r="E8" s="18" t="n">
        <x:v>1</x:v>
      </x:c>
      <x:c r="F8" s="18" t="str">
        <x:v>عباس</x:v>
      </x:c>
      <x:c r="G8" s="18" t="str">
        <x:v>AF-25/27</x:v>
      </x:c>
      <x:c r="H8" s="18" t="str">
        <x:v>باز</x:v>
      </x:c>
    </x:row>
    <x:row r="9">
      <x:c r="A9" s="18" t="str">
        <x:v>OTP-06</x:v>
      </x:c>
      <x:c r="B9" s="18" t="str">
        <x:v>نشست</x:v>
      </x:c>
      <x:c r="C9" s="18" t="str">
        <x:v>Secure session</x:v>
      </x:c>
      <x:c r="D9" s="18" t="str">
        <x:v>HttpOnly/SameSite/logout</x:v>
      </x:c>
      <x:c r="E9" s="18" t="n">
        <x:v>1</x:v>
      </x:c>
      <x:c r="F9" s="18" t="str">
        <x:v>عباس</x:v>
      </x:c>
      <x:c r="G9" s="18" t="str">
        <x:v>AF-28</x:v>
      </x:c>
      <x:c r="H9" s="18" t="str">
        <x:v>باز</x:v>
      </x:c>
    </x:row>
    <x:row r="10">
      <x:c r="A10" s="18" t="str">
        <x:v>OTP-07</x:v>
      </x:c>
      <x:c r="B10" s="18" t="str">
        <x:v>داشبورد</x:v>
      </x:c>
      <x:c r="C10" s="18" t="str">
        <x:v>Minimal pages</x:v>
      </x:c>
      <x:c r="D10" s="18" t="str">
        <x:v>Overview/Orders/Invoices/Profile</x:v>
      </x:c>
      <x:c r="E10" s="18" t="n">
        <x:v>1</x:v>
      </x:c>
      <x:c r="F10" s="18" t="str">
        <x:v>عباس</x:v>
      </x:c>
      <x:c r="G10" s="18" t="str">
        <x:v>AF-28</x:v>
      </x:c>
      <x:c r="H10" s="18" t="str">
        <x:v>باز</x:v>
      </x:c>
    </x:row>
    <x:row r="11">
      <x:c r="A11" s="18" t="str">
        <x:v>OTP-08</x:v>
      </x:c>
      <x:c r="B11" s="18" t="str">
        <x:v>Consent</x:v>
      </x:c>
      <x:c r="C11" s="18" t="str">
        <x:v>Transactional != marketing</x:v>
      </x:c>
      <x:c r="D11" s="18" t="str">
        <x:v>separate consent</x:v>
      </x:c>
      <x:c r="E11" s="18" t="n">
        <x:v>1</x:v>
      </x:c>
      <x:c r="F11" s="18" t="str">
        <x:v>عباس/مالک</x:v>
      </x:c>
      <x:c r="G11" s="18" t="str">
        <x:v>Policy</x:v>
      </x:c>
      <x:c r="H11" s="18" t="str">
        <x:v>باز</x:v>
      </x:c>
    </x:row>
    <x:row r="12">
      <x:c r="A12" s="18" t="str">
        <x:v>OTP-09</x:v>
      </x:c>
      <x:c r="B12" s="18" t="str">
        <x:v>Admin</x:v>
      </x:c>
      <x:c r="C12" s="18" t="str">
        <x:v>Stronger auth</x:v>
      </x:c>
      <x:c r="D12" s="18" t="str">
        <x:v>customer OTP not sole admin auth</x:v>
      </x:c>
      <x:c r="E12" s="18" t="n">
        <x:v>1</x:v>
      </x:c>
      <x:c r="F12" s="18" t="str">
        <x:v>عباس</x:v>
      </x:c>
      <x:c r="G12" s="18" t="str">
        <x:v>Security</x:v>
      </x:c>
      <x:c r="H12" s="18" t="str">
        <x:v>باز</x:v>
      </x:c>
    </x:row>
    <x:row r="13">
      <x:c r="A13" s="18" t="str">
        <x:v>OTP-10</x:v>
      </x:c>
      <x:c r="B13" s="18" t="str">
        <x:v>Out of scope</x:v>
      </x:c>
      <x:c r="C13" s="18" t="str">
        <x:v>No expansion</x:v>
      </x:c>
      <x:c r="D13" s="18" t="str">
        <x:v>social/IAM/org users</x:v>
      </x:c>
      <x:c r="E13" s="18" t="n">
        <x:v>1</x:v>
      </x:c>
      <x:c r="F13" s="18" t="str">
        <x:v>مالک/QC</x:v>
      </x:c>
      <x:c r="G13" s="18" t="str">
        <x:v>AF-29</x:v>
      </x:c>
      <x:c r="H13" s="18" t="str">
        <x:v>قفل شده</x:v>
      </x:c>
    </x:row>
  </x:sheetData>
  <x:mergeCells>
    <x:mergeCell ref="A1:H1"/>
  </x:mergeCells>
  <x:pageMargins left="0.7" right="0.7" top="0.75" bottom="0.75" header="0.3" footer="0.3"/>
</x:worksheet>
</file>